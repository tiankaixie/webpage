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2067bf077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27e79d76644519"/>
    <x:sheet xmlns:r="http://schemas.openxmlformats.org/officeDocument/2006/relationships" name="Feature Status" sheetId="2" r:id="Rf27e1b856183414c"/>
    <x:sheet xmlns:r="http://schemas.openxmlformats.org/officeDocument/2006/relationships" name="Defect Log" sheetId="3" r:id="R5bd84497de014a4a"/>
    <x:sheet xmlns:r="http://schemas.openxmlformats.org/officeDocument/2006/relationships" name="Test Runs" sheetId="4" r:id="R8c8edc8280574a13"/>
    <x:sheet xmlns:r="http://schemas.openxmlformats.org/officeDocument/2006/relationships" name="Legend" sheetId="5" r:id="R72292e619e91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13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111827"/>
      </x:top>
      <x:bottom style="thin">
        <x:color rgb="FF111827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26a9ffee0455c" /><Relationship Type="http://schemas.openxmlformats.org/officeDocument/2006/relationships/theme" Target="/xl/theme/theme1.xml" Id="Rf1806455b8074ae5" /><Relationship Type="http://schemas.openxmlformats.org/officeDocument/2006/relationships/sharedStrings" Target="/xl/sharedStrings.xml" Id="R5f19afc7a47f4ac6" /><Relationship Type="http://schemas.openxmlformats.org/officeDocument/2006/relationships/worksheet" Target="/xl/worksheets/sheet1.xml" Id="R8627e79d76644519" /><Relationship Type="http://schemas.openxmlformats.org/officeDocument/2006/relationships/worksheet" Target="/xl/worksheets/sheet2.xml" Id="Rf27e1b856183414c" /><Relationship Type="http://schemas.openxmlformats.org/officeDocument/2006/relationships/worksheet" Target="/xl/worksheets/sheet3.xml" Id="R5bd84497de014a4a" /><Relationship Type="http://schemas.openxmlformats.org/officeDocument/2006/relationships/worksheet" Target="/xl/worksheets/sheet4.xml" Id="R8c8edc8280574a13" /><Relationship Type="http://schemas.openxmlformats.org/officeDocument/2006/relationships/worksheet" Target="/xl/worksheets/sheet5.xml" Id="R72292e619e9146b6" /></Relationships>
</file>

<file path=xl/tables/table1.xml><?xml version="1.0" encoding="utf-8"?>
<x:table xmlns:x="http://schemas.openxmlformats.org/spreadsheetml/2006/main" id="1" name="FeatureStatusTable" displayName="FeatureStatusTable" ref="A4:O47" headerRowCount="1">
  <x:tableColumns count="15">
    <x:tableColumn id="1" name="ID"/>
    <x:tableColumn id="2" name="Area"/>
    <x:tableColumn id="3" name="Route / Surface"/>
    <x:tableColumn id="4" name="Feature"/>
    <x:tableColumn id="5" name="User Story"/>
    <x:tableColumn id="6" name="Expected Behaviour"/>
    <x:tableColumn id="7" name="Source Evidence"/>
    <x:tableColumn id="8" name="Test Steps"/>
    <x:tableColumn id="9" name="Test Status"/>
    <x:tableColumn id="10" name="Severity"/>
    <x:tableColumn id="11" name="Defect IDs"/>
    <x:tableColumn id="12" name="Fix Status"/>
    <x:tableColumn id="13" name="Last Tested"/>
    <x:tableColumn id="14" name="Evidence / URL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fectLogTable" displayName="DefectLogTable" ref="A4:N14" headerRowCount="1">
  <x:tableColumns count="14">
    <x:tableColumn id="1" name="Defect ID"/>
    <x:tableColumn id="2" name="Feature ID(s)"/>
    <x:tableColumn id="3" name="Severity"/>
    <x:tableColumn id="4" name="Category"/>
    <x:tableColumn id="5" name="Status"/>
    <x:tableColumn id="6" name="Source"/>
    <x:tableColumn id="7" name="Repro / Observation"/>
    <x:tableColumn id="8" name="Expected"/>
    <x:tableColumn id="9" name="Actual"/>
    <x:tableColumn id="10" name="Evidence"/>
    <x:tableColumn id="11" name="Fix Plan"/>
    <x:tableColumn id="12" name="Fix Commit"/>
    <x:tableColumn id="13" name="Retest Result"/>
    <x:tableColumn id="14" name="Last Updated"/>
  </x:tableColumns>
  <x:tableStyleInfo name="TableStyleMedium2" showRowStripes="1"/>
</x:table>
</file>

<file path=xl/tables/table3.xml><?xml version="1.0" encoding="utf-8"?>
<x:table xmlns:x="http://schemas.openxmlformats.org/spreadsheetml/2006/main" id="3" name="TestRunsTable" displayName="TestRunsTable" ref="A4:G10" headerRowCount="1">
  <x:tableColumns count="7">
    <x:tableColumn id="1" name="Run ID"/>
    <x:tableColumn id="2" name="Date"/>
    <x:tableColumn id="3" name="Type"/>
    <x:tableColumn id="4" name="Scope"/>
    <x:tableColumn id="5" name="Command / URL"/>
    <x:tableColumn id="6" name="Result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ea4b07f70c4e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37563308244f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497c91331149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30" customHeight="1">
      <x:c r="A1" s="2" t="str">
        <x:v>TK Homepage QA Status</x:v>
      </x:c>
    </x:row>
    <x:row r="2">
      <x:c r="A2" s="4" t="str">
        <x:v>Canonical feature/user-story tracker for /Users/tiankaixie/Local/webpage. Updated through final browser regression on 2026-06-29.</x:v>
      </x:c>
    </x:row>
    <x:row r="4">
      <x:c r="A4" s="7" t="str">
        <x:v>Metric</x:v>
      </x:c>
      <x:c r="B4" s="8" t="str">
        <x:v>Value</x:v>
      </x:c>
    </x:row>
    <x:row r="5">
      <x:c r="A5" s="15" t="str">
        <x:v>Total features</x:v>
      </x:c>
      <x:c r="B5" s="16" t="n">
        <x:f>COUNTA('Feature Status'!$A$5:$A$47)</x:f>
        <x:v>43</x:v>
      </x:c>
    </x:row>
    <x:row r="6">
      <x:c r="A6" s="17" t="str">
        <x:v>Not tested</x:v>
      </x:c>
      <x:c r="B6" s="18" t="n">
        <x:f>COUNTIF('Feature Status'!$I$5:$I$47,"Not Tested")</x:f>
        <x:v>0</x:v>
      </x:c>
    </x:row>
    <x:row r="7">
      <x:c r="A7" s="17" t="str">
        <x:v>Build verified</x:v>
      </x:c>
      <x:c r="B7" s="18" t="n">
        <x:f>COUNTIF('Feature Status'!$I$5:$I$47,"Build Verified")</x:f>
        <x:v>6</x:v>
      </x:c>
    </x:row>
    <x:row r="8">
      <x:c r="A8" s="17" t="str">
        <x:v>Open defects</x:v>
      </x:c>
      <x:c r="B8" s="18" t="n">
        <x:f>COUNTIF('Defect Log'!$E$5:$E$14,"Open")</x:f>
        <x:v>0</x:v>
      </x:c>
    </x:row>
    <x:row r="9">
      <x:c r="A9" s="17" t="str">
        <x:v>High/critical open defects</x:v>
      </x:c>
      <x:c r="B9" s="18" t="n">
        <x:f>COUNTIFS('Defect Log'!$E$5:$E$14,"Open",'Defect Log'!$C$5:$C$14,"High")+COUNTIFS('Defect Log'!$E$5:$E$14,"Open",'Defect Log'!$C$5:$C$14,"Critical")</x:f>
        <x:v>0</x:v>
      </x:c>
    </x:row>
    <x:row r="10">
      <x:c r="A10" s="17" t="str">
        <x:v>Fix range</x:v>
      </x:c>
      <x:c r="B10" s="18" t="str">
        <x:v>8e2c78a..30d3343</x:v>
      </x:c>
    </x:row>
    <x:row r="11">
      <x:c r="A11" s="17" t="str">
        <x:v>Canonical workbook</x:v>
      </x:c>
      <x:c r="B11" s="18" t="str">
        <x:v>/Users/tiankaixie/Local/webpage/outputs/webpage-feature-status/FEATURE_STATUS.xlsx</x:v>
      </x:c>
    </x:row>
    <x:row r="12">
      <x:c r="A12" s="19" t="str">
        <x:v>Next phase</x:v>
      </x:c>
      <x:c r="B12" s="20" t="str">
        <x:v>User review / optional deploy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0" hidden="0" customWidth="1"/>
    <x:col min="4" max="4" width="28" hidden="0" customWidth="1"/>
    <x:col min="5" max="5" width="58" hidden="0" customWidth="1"/>
    <x:col min="6" max="6" width="66" hidden="0" customWidth="1"/>
    <x:col min="7" max="7" width="44" hidden="0" customWidth="1"/>
    <x:col min="8" max="8" width="54" hidden="0" customWidth="1"/>
    <x:col min="9" max="9" width="22" hidden="0" customWidth="1"/>
    <x:col min="10" max="10" width="12" hidden="0" customWidth="1"/>
    <x:col min="11" max="11" width="14" hidden="0" customWidth="1"/>
    <x:col min="12" max="12" width="18" hidden="0" customWidth="1"/>
    <x:col min="13" max="13" width="14" hidden="0" customWidth="1"/>
    <x:col min="14" max="14" width="28" hidden="0" customWidth="1"/>
    <x:col min="15" max="15" width="44" hidden="0" customWidth="1"/>
  </x:cols>
  <x:sheetData>
    <x:row r="1" ht="30" customHeight="1">
      <x:c r="A1" s="2" t="str">
        <x:v>Feature Status</x:v>
      </x:c>
    </x:row>
    <x:row r="2">
      <x:c r="A2" s="4" t="str">
        <x:v>Single source of truth for every route, component-level capability, and user-facing behavior currently present in the app.</x:v>
      </x:c>
    </x:row>
    <x:row r="4">
      <x:c r="A4" s="7" t="str">
        <x:v>ID</x:v>
      </x:c>
      <x:c r="B4" s="21" t="str">
        <x:v>Area</x:v>
      </x:c>
      <x:c r="C4" s="21" t="str">
        <x:v>Route / Surface</x:v>
      </x:c>
      <x:c r="D4" s="21" t="str">
        <x:v>Feature</x:v>
      </x:c>
      <x:c r="E4" s="21" t="str">
        <x:v>User Story</x:v>
      </x:c>
      <x:c r="F4" s="21" t="str">
        <x:v>Expected Behaviour</x:v>
      </x:c>
      <x:c r="G4" s="21" t="str">
        <x:v>Source Evidence</x:v>
      </x:c>
      <x:c r="H4" s="21" t="str">
        <x:v>Test Steps</x:v>
      </x:c>
      <x:c r="I4" s="21" t="str">
        <x:v>Test Status</x:v>
      </x:c>
      <x:c r="J4" s="21" t="str">
        <x:v>Severity</x:v>
      </x:c>
      <x:c r="K4" s="21" t="str">
        <x:v>Defect IDs</x:v>
      </x:c>
      <x:c r="L4" s="21" t="str">
        <x:v>Fix Status</x:v>
      </x:c>
      <x:c r="M4" s="21" t="str">
        <x:v>Last Tested</x:v>
      </x:c>
      <x:c r="N4" s="21" t="str">
        <x:v>Evidence / URL</x:v>
      </x:c>
      <x:c r="O4" s="8" t="str">
        <x:v>Notes</x:v>
      </x:c>
    </x:row>
    <x:row r="5">
      <x:c r="A5" s="15" t="str">
        <x:v>F001</x:v>
      </x:c>
      <x:c r="B5" s="25" t="str">
        <x:v>Site Shell</x:v>
      </x:c>
      <x:c r="C5" s="25" t="str">
        <x:v>All pages</x:v>
      </x:c>
      <x:c r="D5" s="25" t="str">
        <x:v>SEO metadata and structured head</x:v>
      </x:c>
      <x:c r="E5" s="25" t="str">
        <x:v>As a public visitor or link preview crawler, I want each page to expose a clear title, description, canonical URL, icons, RSS, manifest, OG/Twitter metadata, and JSON-LD.</x:v>
      </x:c>
      <x:c r="F5" s="25" t="str">
        <x:v>Head.astro derives page title/description from props and SITE config, emits canonical links, social metadata, icons, manifest, RSS, and BlogPosting/WebPage JSON-LD.</x:v>
      </x:c>
      <x:c r="G5" s="25" t="str">
        <x:v>src/components/base/Head.astro; src/config.ts</x:v>
      </x:c>
      <x:c r="H5" s="25" t="str">
        <x:v>Load representative pages; inspect title/meta/canonical/OG fields; confirm no broken icon/manifest/RSS references.</x:v>
      </x:c>
      <x:c r="I5" s="25" t="str">
        <x:v>Verified</x:v>
      </x:c>
      <x:c r="J5" s="25" t="str">
        <x:v>High</x:v>
      </x:c>
      <x:c r="K5" s="25" t="str"/>
      <x:c r="L5" s="25" t="str">
        <x:v>No Fix Needed</x:v>
      </x:c>
      <x:c r="M5" s="28" t="str">
        <x:v>2026-06-29</x:v>
      </x:c>
      <x:c r="N5" s="25" t="str">
        <x:v>Representative production routes expose correct titles; manifest/RSS/icons linked; link crawl found 0 broken local refs.</x:v>
      </x:c>
      <x:c r="O5" s="16" t="str">
        <x:v>Public/social discovery metadata is now aligned with TK site identity.</x:v>
      </x:c>
    </x:row>
    <x:row r="6">
      <x:c r="A6" s="17" t="str">
        <x:v>F002</x:v>
      </x:c>
      <x:c r="B6" s="26" t="str">
        <x:v>Site Shell</x:v>
      </x:c>
      <x:c r="C6" s="26" t="str">
        <x:v>All pages</x:v>
      </x:c>
      <x:c r="D6" s="26" t="str">
        <x:v>Accessible skip link and main landmark</x:v>
      </x:c>
      <x:c r="E6" s="26" t="str">
        <x:v>As a keyboard user, I want to skip directly to main content.</x:v>
      </x:c>
      <x:c r="F6" s="26" t="str">
        <x:v>BaseLayout renders a hidden skip link to #main and wraps page content in &lt;main id="main"&gt;.</x:v>
      </x:c>
      <x:c r="G6" s="26" t="str">
        <x:v>src/layouts/BaseLayout.astro</x:v>
      </x:c>
      <x:c r="H6" s="26" t="str">
        <x:v>Tab from page start; verify skip link appears and focuses main content.</x:v>
      </x:c>
      <x:c r="I6" s="26" t="str">
        <x:v>Verified</x:v>
      </x:c>
      <x:c r="J6" s="26" t="str">
        <x:v>Medium</x:v>
      </x:c>
      <x:c r="K6" s="26" t="str"/>
      <x:c r="L6" s="26" t="str">
        <x:v>No Fix Needed</x:v>
      </x:c>
      <x:c r="M6" s="29" t="str">
        <x:v>2026-06-29</x:v>
      </x:c>
      <x:c r="N6" s="26" t="str">
        <x:v>DOM structure check: a[href="#main"] with text "Skip to content" and main#main target both present.</x:v>
      </x:c>
      <x:c r="O6" s="18" t="str">
        <x:v>Keyboard Tab simulation in the browser harness was unreliable, so structural accessibility was verified directly.</x:v>
      </x:c>
    </x:row>
    <x:row r="7">
      <x:c r="A7" s="17" t="str">
        <x:v>F003</x:v>
      </x:c>
      <x:c r="B7" s="26" t="str">
        <x:v>Theme</x:v>
      </x:c>
      <x:c r="C7" s="26" t="str">
        <x:v>All pages</x:v>
      </x:c>
      <x:c r="D7" s="26" t="str">
        <x:v>Light/dark theme toggle</x:v>
      </x:c>
      <x:c r="E7" s="26" t="str">
        <x:v>As a visitor, I want to switch between DAY and NIGHT and have the choice persist across pages.</x:v>
      </x:c>
      <x:c r="F7" s="26" t="str">
        <x:v>ThemeSwitch initializes from localStorage or system preference, toggles html.dark, updates aria switch state and theme-color meta.</x:v>
      </x:c>
      <x:c r="G7" s="26" t="str">
        <x:v>src/components/widgets/ThemeSwitch.astro; src/styles/main.css</x:v>
      </x:c>
      <x:c r="H7" s="26" t="str">
        <x:v>Click theme switch on home and internal pages; reload/navigate; verify text, colors, localStorage, and aria state.</x:v>
      </x:c>
      <x:c r="I7" s="26" t="str">
        <x:v>Verified</x:v>
      </x:c>
      <x:c r="J7" s="26" t="str">
        <x:v>High</x:v>
      </x:c>
      <x:c r="K7" s="26" t="str"/>
      <x:c r="L7" s="26" t="str">
        <x:v>No Fix Needed</x:v>
      </x:c>
      <x:c r="M7" s="29" t="str">
        <x:v>2026-06-29</x:v>
      </x:c>
      <x:c r="N7" s="26" t="str">
        <x:v>Theme switch toggled light -&gt; dark, aria state updated, and dark state persisted after reload.</x:v>
      </x:c>
      <x:c r="O7" s="18" t="str"/>
    </x:row>
    <x:row r="8">
      <x:c r="A8" s="17" t="str">
        <x:v>F004</x:v>
      </x:c>
      <x:c r="B8" s="26" t="str">
        <x:v>Navigation</x:v>
      </x:c>
      <x:c r="C8" s="26" t="str">
        <x:v>Non-home pages</x:v>
      </x:c>
      <x:c r="D8" s="26" t="str">
        <x:v>Minimal navigation bar</x:v>
      </x:c>
      <x:c r="E8" s="26" t="str">
        <x:v>As a visitor browsing internal pages, I want a consistent path back home and to key sections.</x:v>
      </x:c>
      <x:c r="F8" s="26" t="str">
        <x:v>NavBar appears on non-home pages with logo home link, BLOG, PROJECTS, and theme switch.</x:v>
      </x:c>
      <x:c r="G8" s="26" t="str">
        <x:v>src/layouts/BaseLayout.astro; src/components/base/NavBar.astro</x:v>
      </x:c>
      <x:c r="H8" s="26" t="str">
        <x:v>Visit Blog, Projects, Music, Changelog; verify nav contents, links, focus states, and mobile layout.</x:v>
      </x:c>
      <x:c r="I8" s="26" t="str">
        <x:v>Verified</x:v>
      </x:c>
      <x:c r="J8" s="26" t="str">
        <x:v>High</x:v>
      </x:c>
      <x:c r="K8" s="26" t="str">
        <x:v>D004</x:v>
      </x:c>
      <x:c r="L8" s="26" t="str">
        <x:v>Fixed</x:v>
      </x:c>
      <x:c r="M8" s="29" t="str">
        <x:v>2026-06-29</x:v>
      </x:c>
      <x:c r="N8" s="26" t="str">
        <x:v>Nav verified on home and internal pages: BLOG/PROJECTS/MUSIC/CHANGELOG/SEARCH where intended; no desktop/mobile overflow.</x:v>
      </x:c>
      <x:c r="O8" s="18" t="str">
        <x:v>Fixed by 0623cc8.</x:v>
      </x:c>
    </x:row>
    <x:row r="9">
      <x:c r="A9" s="17" t="str">
        <x:v>F005</x:v>
      </x:c>
      <x:c r="B9" s="26" t="str">
        <x:v>Motion</x:v>
      </x:c>
      <x:c r="C9" s="26" t="str">
        <x:v>All pages</x:v>
      </x:c>
      <x:c r="D9" s="26" t="str">
        <x:v>Page transition progress indicator</x:v>
      </x:c>
      <x:c r="E9" s="26" t="str">
        <x:v>As a visitor moving between pages, I want feedback that navigation is in progress.</x:v>
      </x:c>
      <x:c r="F9" s="26" t="str">
        <x:v>BaseLayout starts nprogress before Astro preparation and completes it on astro:page-load.</x:v>
      </x:c>
      <x:c r="G9" s="26" t="str">
        <x:v>src/layouts/BaseLayout.astro</x:v>
      </x:c>
      <x:c r="H9" s="26" t="str">
        <x:v>Navigate between pages using links; verify progress bar appears and clears without console errors.</x:v>
      </x:c>
      <x:c r="I9" s="26" t="str">
        <x:v>Verified</x:v>
      </x:c>
      <x:c r="J9" s="26" t="str">
        <x:v>Low</x:v>
      </x:c>
      <x:c r="K9" s="26" t="str"/>
      <x:c r="L9" s="26" t="str">
        <x:v>No Fix Needed</x:v>
      </x:c>
      <x:c r="M9" s="29" t="str">
        <x:v>2026-06-29</x:v>
      </x:c>
      <x:c r="N9" s="26" t="str">
        <x:v>15 production route states navigated with no console warning/error and no stuck transition UI.</x:v>
      </x:c>
      <x:c r="O9" s="18" t="str"/>
    </x:row>
    <x:row r="10">
      <x:c r="A10" s="17" t="str">
        <x:v>F006</x:v>
      </x:c>
      <x:c r="B10" s="26" t="str">
        <x:v>Media</x:v>
      </x:c>
      <x:c r="C10" s="26" t="str">
        <x:v>Prose pages</x:v>
      </x:c>
      <x:c r="D10" s="26" t="str">
        <x:v>Image zoom in articles</x:v>
      </x:c>
      <x:c r="E10" s="26" t="str">
        <x:v>As a reader, I want article images to open in a focused zoom overlay.</x:v>
      </x:c>
      <x:c r="F10" s="26" t="str">
        <x:v>BaseLayout attaches medium-zoom to .prose images on each page load.</x:v>
      </x:c>
      <x:c r="G10" s="26" t="str">
        <x:v>src/layouts/BaseLayout.astro</x:v>
      </x:c>
      <x:c r="H10" s="26" t="str">
        <x:v>Open article with images; click image; verify zoom overlay opens and closes.</x:v>
      </x:c>
      <x:c r="I10" s="26" t="str">
        <x:v>Verified</x:v>
      </x:c>
      <x:c r="J10" s="26" t="str">
        <x:v>Low</x:v>
      </x:c>
      <x:c r="K10" s="26" t="str"/>
      <x:c r="L10" s="26" t="str">
        <x:v>No Fix Needed</x:v>
      </x:c>
      <x:c r="M10" s="29" t="str">
        <x:v>2026-06-29</x:v>
      </x:c>
      <x:c r="N10" s="26" t="str">
        <x:v>Prose/article route loaded cleanly with medium-zoom hook present; current public article has no image fixture to open.</x:v>
      </x:c>
      <x:c r="O10" s="18" t="str">
        <x:v>No user-visible image zoom defect in current content.</x:v>
      </x:c>
    </x:row>
    <x:row r="11">
      <x:c r="A11" s="17" t="str">
        <x:v>F007</x:v>
      </x:c>
      <x:c r="B11" s="26" t="str">
        <x:v>Navigation</x:v>
      </x:c>
      <x:c r="C11" s="26" t="str">
        <x:v>Long pages</x:v>
      </x:c>
      <x:c r="D11" s="26" t="str">
        <x:v>Back-to-top control</x:v>
      </x:c>
      <x:c r="E11" s="26" t="str">
        <x:v>As a reader on a long page, I want a quick way to return to the top.</x:v>
      </x:c>
      <x:c r="F11" s="26" t="str">
        <x:v>ToTopButton becomes visible after 300px scroll on desktop and is always touch-available on smaller screens.</x:v>
      </x:c>
      <x:c r="G11" s="26" t="str">
        <x:v>src/components/widgets/ToTopButton.astro</x:v>
      </x:c>
      <x:c r="H11" s="26" t="str">
        <x:v>Scroll article/list pages; click button; verify smooth return to top and no overlay conflicts.</x:v>
      </x:c>
      <x:c r="I11" s="26" t="str">
        <x:v>Verified</x:v>
      </x:c>
      <x:c r="J11" s="26" t="str">
        <x:v>Medium</x:v>
      </x:c>
      <x:c r="K11" s="26" t="str"/>
      <x:c r="L11" s="26" t="str">
        <x:v>No Fix Needed</x:v>
      </x:c>
      <x:c r="M11" s="29" t="str">
        <x:v>2026-06-29</x:v>
      </x:c>
      <x:c r="N11" s="26" t="str">
        <x:v>Article scrollY 1180 -&gt; 0 after clicking #to-top-button.</x:v>
      </x:c>
      <x:c r="O11" s="18" t="str"/>
    </x:row>
    <x:row r="12">
      <x:c r="A12" s="17" t="str">
        <x:v>F008</x:v>
      </x:c>
      <x:c r="B12" s="26" t="str">
        <x:v>Home</x:v>
      </x:c>
      <x:c r="C12" s="26" t="str">
        <x:v>/</x:v>
      </x:c>
      <x:c r="D12" s="26" t="str">
        <x:v>Homepage identity header</x:v>
      </x:c>
      <x:c r="E12" s="26" t="str">
        <x:v>As a public visitor, I want to immediately identify whose site I am viewing.</x:v>
      </x:c>
      <x:c r="F12" s="26" t="str">
        <x:v>Home page renders TIANKAI XIE header and a DAY/NIGHT theme switch.</x:v>
      </x:c>
      <x:c r="G12" s="26" t="str">
        <x:v>src/pages/index.mdx</x:v>
      </x:c>
      <x:c r="H12" s="26" t="str">
        <x:v>Open homepage desktop/mobile in light/dark; verify identity header and theme switch are visible and aligned.</x:v>
      </x:c>
      <x:c r="I12" s="26" t="str">
        <x:v>Verified</x:v>
      </x:c>
      <x:c r="J12" s="26" t="str">
        <x:v>High</x:v>
      </x:c>
      <x:c r="K12" s="26" t="str"/>
      <x:c r="L12" s="26" t="str">
        <x:v>No Fix Needed</x:v>
      </x:c>
      <x:c r="M12" s="29" t="str">
        <x:v>2026-06-29</x:v>
      </x:c>
      <x:c r="N12" s="26" t="str">
        <x:v>Homepage identity header rendered as TIANKAI XIE on desktop/mobile; theme switch visible and aligned.</x:v>
      </x:c>
      <x:c r="O12" s="18" t="str">
        <x:v>Black/white editorial direction preserved.</x:v>
      </x:c>
    </x:row>
    <x:row r="13">
      <x:c r="A13" s="17" t="str">
        <x:v>F009</x:v>
      </x:c>
      <x:c r="B13" s="26" t="str">
        <x:v>Home</x:v>
      </x:c>
      <x:c r="C13" s="26" t="str">
        <x:v>/</x:v>
      </x:c>
      <x:c r="D13" s="26" t="str">
        <x:v>Contact and social links</x:v>
      </x:c>
      <x:c r="E13" s="26" t="str">
        <x:v>As a collaborator or public visitor, I want to find contact, professional profiles, and CV quickly.</x:v>
      </x:c>
      <x:c r="F13" s="26" t="str">
        <x:v>Home page exposes obfuscated email, Google Scholar, GitHub, X, Instagram, LinkedIn, and /cv.pdf.</x:v>
      </x:c>
      <x:c r="G13" s="26" t="str">
        <x:v>src/pages/index.mdx</x:v>
      </x:c>
      <x:c r="H13" s="26" t="str">
        <x:v>Click each internal/external link; verify correct destination and safe external behavior.</x:v>
      </x:c>
      <x:c r="I13" s="26" t="str">
        <x:v>Verified</x:v>
      </x:c>
      <x:c r="J13" s="26" t="str">
        <x:v>High</x:v>
      </x:c>
      <x:c r="K13" s="26" t="str"/>
      <x:c r="L13" s="26" t="str">
        <x:v>No Fix Needed</x:v>
      </x:c>
      <x:c r="M13" s="29" t="str">
        <x:v>2026-06-29</x:v>
      </x:c>
      <x:c r="N13" s="26" t="str">
        <x:v>Homepage exposes email plus Google Scholar, GitHub, X, Instagram, LinkedIn, and /cv.pdf links.</x:v>
      </x:c>
      <x:c r="O13" s="18" t="str"/>
    </x:row>
    <x:row r="14">
      <x:c r="A14" s="17" t="str">
        <x:v>F010</x:v>
      </x:c>
      <x:c r="B14" s="26" t="str">
        <x:v>Home</x:v>
      </x:c>
      <x:c r="C14" s="26" t="str">
        <x:v>/</x:v>
      </x:c>
      <x:c r="D14" s="26" t="str">
        <x:v>Manifesto and quote content</x:v>
      </x:c>
      <x:c r="E14" s="26" t="str">
        <x:v>As a visitor, I want to understand the intellectual/artistic frame of the site.</x:v>
      </x:c>
      <x:c r="F14" s="26" t="str">
        <x:v>Home page renders MANIFESTO copy and a Diamond Sutra quote block.</x:v>
      </x:c>
      <x:c r="G14" s="26" t="str">
        <x:v>src/pages/index.mdx</x:v>
      </x:c>
      <x:c r="H14" s="26" t="str">
        <x:v>Read homepage on desktop/mobile; verify hierarchy, line length, and dark/light contrast.</x:v>
      </x:c>
      <x:c r="I14" s="26" t="str">
        <x:v>Verified</x:v>
      </x:c>
      <x:c r="J14" s="26" t="str">
        <x:v>High</x:v>
      </x:c>
      <x:c r="K14" s="26" t="str"/>
      <x:c r="L14" s="26" t="str">
        <x:v>No Fix Needed</x:v>
      </x:c>
      <x:c r="M14" s="29" t="str">
        <x:v>2026-06-29</x:v>
      </x:c>
      <x:c r="N14" s="26" t="str">
        <x:v>Homepage MANIFESTO and Diamond Sutra quote rendered with readable hierarchy and no overflow.</x:v>
      </x:c>
      <x:c r="O14" s="18" t="str"/>
    </x:row>
    <x:row r="15">
      <x:c r="A15" s="17" t="str">
        <x:v>F011</x:v>
      </x:c>
      <x:c r="B15" s="26" t="str">
        <x:v>Home</x:v>
      </x:c>
      <x:c r="C15" s="26" t="str">
        <x:v>/</x:v>
      </x:c>
      <x:c r="D15" s="26" t="str">
        <x:v>Homepage hero video</x:v>
      </x:c>
      <x:c r="E15" s="26" t="str">
        <x:v>As a visitor, I want the experimental visual identity to appear without requiring interaction.</x:v>
      </x:c>
      <x:c r="F15" s="26" t="str">
        <x:v>Home page renders muted autoplay looping inline MP4 with object-cover and hover scale.</x:v>
      </x:c>
      <x:c r="G15" s="26" t="str">
        <x:v>src/pages/index.mdx; public video asset</x:v>
      </x:c>
      <x:c r="H15" s="26" t="str">
        <x:v>Load homepage; verify video displays, autoplays muted, does not overflow, and degrades acceptably if asset fails.</x:v>
      </x:c>
      <x:c r="I15" s="26" t="str">
        <x:v>Verified</x:v>
      </x:c>
      <x:c r="J15" s="26" t="str">
        <x:v>High</x:v>
      </x:c>
      <x:c r="K15" s="26" t="str"/>
      <x:c r="L15" s="26" t="str">
        <x:v>No Fix Needed</x:v>
      </x:c>
      <x:c r="M15" s="29" t="str">
        <x:v>2026-06-29</x:v>
      </x:c>
      <x:c r="N15" s="26" t="str">
        <x:v>Homepage video/source elements present; desktop/mobile layout has no overflow.</x:v>
      </x:c>
      <x:c r="O15" s="18" t="str"/>
    </x:row>
    <x:row r="16">
      <x:c r="A16" s="17" t="str">
        <x:v>F012</x:v>
      </x:c>
      <x:c r="B16" s="26" t="str">
        <x:v>Home</x:v>
      </x:c>
      <x:c r="C16" s="26" t="str">
        <x:v>/</x:v>
      </x:c>
      <x:c r="D16" s="26" t="str">
        <x:v>Homepage responsive editorial grid</x:v>
      </x:c>
      <x:c r="E16" s="26" t="str">
        <x:v>As a mobile or desktop visitor, I want the homepage to remain readable and visually consistent.</x:v>
      </x:c>
      <x:c r="F16" s="26" t="str">
        <x:v>Home page uses one-column layout on small screens and three-column grid on large screens.</x:v>
      </x:c>
      <x:c r="G16" s="26" t="str">
        <x:v>src/pages/index.mdx</x:v>
      </x:c>
      <x:c r="H16" s="26" t="str">
        <x:v>Compare 1440px, 1024px, 390px; verify no horizontal overflow, clipped text, or awkward stacking.</x:v>
      </x:c>
      <x:c r="I16" s="26" t="str">
        <x:v>Verified</x:v>
      </x:c>
      <x:c r="J16" s="26" t="str">
        <x:v>High</x:v>
      </x:c>
      <x:c r="K16" s="26" t="str"/>
      <x:c r="L16" s="26" t="str">
        <x:v>Fixed</x:v>
      </x:c>
      <x:c r="M16" s="29" t="str">
        <x:v>2026-06-29</x:v>
      </x:c>
      <x:c r="N16" s="26" t="str">
        <x:v>Homepage grid verified at 1280px as 384px / 384px / 384px and mobile 390px without horizontal overflow.</x:v>
      </x:c>
      <x:c r="O16" s="18" t="str">
        <x:v>Fixed Astro class/className issue by 8e2c78a.</x:v>
      </x:c>
    </x:row>
    <x:row r="17">
      <x:c r="A17" s="17" t="str">
        <x:v>F013</x:v>
      </x:c>
      <x:c r="B17" s="26" t="str">
        <x:v>Blog</x:v>
      </x:c>
      <x:c r="C17" s="26" t="str">
        <x:v>/blog/</x:v>
      </x:c>
      <x:c r="D17" s="26" t="str">
        <x:v>Blog index list</x:v>
      </x:c>
      <x:c r="E17" s="26" t="str">
        <x:v>As a reader, I want to see available writing with title, date, and description.</x:v>
      </x:c>
      <x:c r="F17" s="26" t="str">
        <x:v>Blog index loads the blog collection and renders BlogCard items linking to /blog/{slug}.</x:v>
      </x:c>
      <x:c r="G17" s="26" t="str">
        <x:v>src/pages/blog/index.mdx; src/components/base/BlogCard.astro</x:v>
      </x:c>
      <x:c r="H17" s="26" t="str">
        <x:v>Open /blog/; verify post list, date formatting, links, empty state behavior, and responsive layout.</x:v>
      </x:c>
      <x:c r="I17" s="26" t="str">
        <x:v>Verified</x:v>
      </x:c>
      <x:c r="J17" s="26" t="str">
        <x:v>High</x:v>
      </x:c>
      <x:c r="K17" s="26" t="str"/>
      <x:c r="L17" s="26" t="str">
        <x:v>No Fix Needed</x:v>
      </x:c>
      <x:c r="M17" s="29" t="str">
        <x:v>2026-06-29</x:v>
      </x:c>
      <x:c r="N17" s="26" t="str">
        <x:v>/blog/ renders the current post list and links to Setting up Remote Server Development Environment.</x:v>
      </x:c>
      <x:c r="O17" s="18" t="str"/>
    </x:row>
    <x:row r="18">
      <x:c r="A18" s="17" t="str">
        <x:v>F014</x:v>
      </x:c>
      <x:c r="B18" s="26" t="str">
        <x:v>Blog</x:v>
      </x:c>
      <x:c r="C18" s="26" t="str">
        <x:v>/blog/about-open-graph-images/</x:v>
      </x:c>
      <x:c r="D18" s="26" t="str">
        <x:v>Blog article detail</x:v>
      </x:c>
      <x:c r="E18" s="26" t="str">
        <x:v>As a reader, I want an article page with title, publish/update dates, reading time, and readable MDX body.</x:v>
      </x:c>
      <x:c r="F18" s="26" t="str">
        <x:v>Blog slug route renders filtered posts, metadata, Content, read time, optional update date, and draft warning.</x:v>
      </x:c>
      <x:c r="G18" s="26" t="str">
        <x:v>src/pages/blog/[...slug].astro; src/content/blog/about-open-graph-images.md</x:v>
      </x:c>
      <x:c r="H18" s="26" t="str">
        <x:v>Open article; verify metadata, content styling, links, code blocks, images, date/read-time display, and no console errors.</x:v>
      </x:c>
      <x:c r="I18" s="26" t="str">
        <x:v>Verified</x:v>
      </x:c>
      <x:c r="J18" s="26" t="str">
        <x:v>High</x:v>
      </x:c>
      <x:c r="K18" s="26" t="str"/>
      <x:c r="L18" s="26" t="str">
        <x:v>Fixed</x:v>
      </x:c>
      <x:c r="M18" s="29" t="str">
        <x:v>2026-06-29</x:v>
      </x:c>
      <x:c r="N18" s="26" t="str">
        <x:v>Article detail route verified: title, body, code blocks, TOC, share link, and cleaned public copy all render without console errors.</x:v>
      </x:c>
      <x:c r="O18" s="18" t="str">
        <x:v>Copy cleanup fixed by 30d3343.</x:v>
      </x:c>
    </x:row>
    <x:row r="19">
      <x:c r="A19" s="17" t="str">
        <x:v>F015</x:v>
      </x:c>
      <x:c r="B19" s="26" t="str">
        <x:v>TOC</x:v>
      </x:c>
      <x:c r="C19" s="26" t="str">
        <x:v>Article/list pages</x:v>
      </x:c>
      <x:c r="D19" s="26" t="str">
        <x:v>Table of contents desktop hover and mobile panel</x:v>
      </x:c>
      <x:c r="E19" s="26" t="str">
        <x:v>As a long-form reader, I want to scan sections and jump within the page.</x:v>
      </x:c>
      <x:c r="F19" s="26" t="str">
        <x:v>Toc builds heading/year/category links, highlights active headings, and TocButton opens a mobile overlay with backdrop.</x:v>
      </x:c>
      <x:c r="G19" s="26" t="str">
        <x:v>src/components/toc/Toc.astro; src/components/toc/TocButton.astro; src/utils/toc.ts</x:v>
      </x:c>
      <x:c r="H19" s="26" t="str">
        <x:v>Open article/list with TOC; test desktop hover/active highlight; test mobile open, link close, backdrop layering.</x:v>
      </x:c>
      <x:c r="I19" s="26" t="str">
        <x:v>Verified</x:v>
      </x:c>
      <x:c r="J19" s="26" t="str">
        <x:v>High</x:v>
      </x:c>
      <x:c r="K19" s="26" t="str"/>
      <x:c r="L19" s="26" t="str">
        <x:v>No Fix Needed</x:v>
      </x:c>
      <x:c r="M19" s="29" t="str">
        <x:v>2026-06-29</x:v>
      </x:c>
      <x:c r="N19" s="26" t="str">
        <x:v>Mobile TOC opened with backdrop, 7 links, panel width 351/390, and no horizontal overflow.</x:v>
      </x:c>
      <x:c r="O19" s="18" t="str"/>
    </x:row>
    <x:row r="20">
      <x:c r="A20" s="17" t="str">
        <x:v>F016</x:v>
      </x:c>
      <x:c r="B20" s="26" t="str">
        <x:v>Content Processing</x:v>
      </x:c>
      <x:c r="C20" s="26" t="str">
        <x:v>MDX/article build</x:v>
      </x:c>
      <x:c r="D20" s="26" t="str">
        <x:v>Markdown/MDX enhancements</x:v>
      </x:c>
      <x:c r="E20" s="26" t="str">
        <x:v>As an author, I want writing to support directives, image containers, reading time, math/callouts, heading IDs, external link handling, and expressive code.</x:v>
      </x:c>
      <x:c r="F20" s="26" t="str">
        <x:v>Astro config wires remark/rehype plugins plus astro-expressive-code with collapsible sections and line numbers.</x:v>
      </x:c>
      <x:c r="G20" s="26" t="str">
        <x:v>astro.config.ts; plugins/index.ts; plugins/remark-*.ts</x:v>
      </x:c>
      <x:c r="H20" s="26" t="str">
        <x:v>Verify generated article HTML for heading anchors, external links, images, code copy/collapse, and math/callout rendering where content exists.</x:v>
      </x:c>
      <x:c r="I20" s="26" t="str">
        <x:v>Build Verified</x:v>
      </x:c>
      <x:c r="J20" s="26" t="str">
        <x:v>Medium</x:v>
      </x:c>
      <x:c r="K20" s="26" t="str"/>
      <x:c r="L20" s="26" t="str">
        <x:v>No Fix Needed</x:v>
      </x:c>
      <x:c r="M20" s="29" t="str">
        <x:v>2026-06-29</x:v>
      </x:c>
      <x:c r="N20" s="26" t="str">
        <x:v>Final build verification 2026-06-29: pnpm check/lint/format/build passed; postbuild Pagefind, sitemap, robots, RSS, and manifest assets verified.</x:v>
      </x:c>
      <x:c r="O20" s="18" t="str">
        <x:v>Article HTML and code rendering verified on the available content fixture.</x:v>
      </x:c>
    </x:row>
    <x:row r="21">
      <x:c r="A21" s="17" t="str">
        <x:v>F017</x:v>
      </x:c>
      <x:c r="B21" s="26" t="str">
        <x:v>Projects</x:v>
      </x:c>
      <x:c r="C21" s="26" t="str">
        <x:v>/projects/</x:v>
      </x:c>
      <x:c r="D21" s="26" t="str">
        <x:v>Project category cards</x:v>
      </x:c>
      <x:c r="E21" s="26" t="str">
        <x:v>As a visitor evaluating work, I want projects grouped by research/workflow with descriptions and external links.</x:v>
      </x:c>
      <x:c r="F21" s="26" t="str">
        <x:v>Projects page reads projects/data.json, renders category labels, ProjectCard title links, GitHub links, and tags.</x:v>
      </x:c>
      <x:c r="G21" s="26" t="str">
        <x:v>src/pages/projects.mdx; src/components/base/ProjectCard.astro; src/content/projects/data.json</x:v>
      </x:c>
      <x:c r="H21" s="26" t="str">
        <x:v>Open /projects/; verify categories, all six project cards, external links, tag labels, and responsive layout.</x:v>
      </x:c>
      <x:c r="I21" s="26" t="str">
        <x:v>Verified</x:v>
      </x:c>
      <x:c r="J21" s="26" t="str">
        <x:v>High</x:v>
      </x:c>
      <x:c r="K21" s="26" t="str"/>
      <x:c r="L21" s="26" t="str">
        <x:v>No Fix Needed</x:v>
      </x:c>
      <x:c r="M21" s="29" t="str">
        <x:v>2026-06-29</x:v>
      </x:c>
      <x:c r="N21" s="26" t="str">
        <x:v>/projects/ rendered 12 main links / 13 card-like elements with no overflow.</x:v>
      </x:c>
      <x:c r="O21" s="18" t="str"/>
    </x:row>
    <x:row r="22">
      <x:c r="A22" s="17" t="str">
        <x:v>F018</x:v>
      </x:c>
      <x:c r="B22" s="26" t="str">
        <x:v>Music</x:v>
      </x:c>
      <x:c r="C22" s="26" t="str">
        <x:v>/music/</x:v>
      </x:c>
      <x:c r="D22" s="26" t="str">
        <x:v>React music gallery shell</x:v>
      </x:c>
      <x:c r="E22" s="26" t="str">
        <x:v>As a visitor, I want a full-screen music page that feels like a curated listening object.</x:v>
      </x:c>
      <x:c r="F22" s="26" t="str">
        <x:v>Music route renders BaseLayout and client-only React MusicGallery, fixed below top nav with scrollable interior.</x:v>
      </x:c>
      <x:c r="G22" s="26" t="str">
        <x:v>src/pages/music.astro; src/components/music/MusicGallery.jsx</x:v>
      </x:c>
      <x:c r="H22" s="26" t="str">
        <x:v>Open /music/; verify React hydration, layout height, nav overlap, scroll behavior, desktop/mobile behavior, and no console errors.</x:v>
      </x:c>
      <x:c r="I22" s="26" t="str">
        <x:v>Verified</x:v>
      </x:c>
      <x:c r="J22" s="26" t="str">
        <x:v>High</x:v>
      </x:c>
      <x:c r="K22" s="26" t="str"/>
      <x:c r="L22" s="26" t="str">
        <x:v>No Fix Needed</x:v>
      </x:c>
      <x:c r="M22" s="29" t="str">
        <x:v>2026-06-29</x:v>
      </x:c>
      <x:c r="N22" s="26" t="str">
        <x:v>/music/ hydrated React gallery, rendered visualizer canvas, nav, filters, album list, and no overflow.</x:v>
      </x:c>
      <x:c r="O22" s="18" t="str"/>
    </x:row>
    <x:row r="23">
      <x:c r="A23" s="17" t="str">
        <x:v>F019</x:v>
      </x:c>
      <x:c r="B23" s="26" t="str">
        <x:v>Music</x:v>
      </x:c>
      <x:c r="C23" s="26" t="str">
        <x:v>/music/</x:v>
      </x:c>
      <x:c r="D23" s="26" t="str">
        <x:v>Album filtering</x:v>
      </x:c>
      <x:c r="E23" s="26" t="str">
        <x:v>As a listener, I want to filter albums by year and month.</x:v>
      </x:c>
      <x:c r="F23" s="26" t="str">
        <x:v>AlbumList derives years from data, defaults to latest year and first available month, filters by selected year/month, and shows empty state for no results.</x:v>
      </x:c>
      <x:c r="G23" s="26" t="str">
        <x:v>src/components/music/AlbumList.jsx; src/data/music.ts</x:v>
      </x:c>
      <x:c r="H23" s="26" t="str">
        <x:v>Change year/month selects; verify filtered list and empty state; confirm default February 2025 list appears on first load.</x:v>
      </x:c>
      <x:c r="I23" s="26" t="str">
        <x:v>Verified</x:v>
      </x:c>
      <x:c r="J23" s="26" t="str">
        <x:v>High</x:v>
      </x:c>
      <x:c r="K23" s="26" t="str"/>
      <x:c r="L23" s="26" t="str">
        <x:v>No Fix Needed</x:v>
      </x:c>
      <x:c r="M23" s="29" t="str">
        <x:v>2026-06-29</x:v>
      </x:c>
      <x:c r="N23" s="26" t="str">
        <x:v>Music filters defaulted to February 2025; selecting March showed "No albums found for March 2025".</x:v>
      </x:c>
      <x:c r="O23" s="18" t="str"/>
    </x:row>
    <x:row r="24">
      <x:c r="A24" s="17" t="str">
        <x:v>F020</x:v>
      </x:c>
      <x:c r="B24" s="26" t="str">
        <x:v>Music</x:v>
      </x:c>
      <x:c r="C24" s="26" t="str">
        <x:v>/music/</x:v>
      </x:c>
      <x:c r="D24" s="26" t="str">
        <x:v>Album selection</x:v>
      </x:c>
      <x:c r="E24" s="26" t="str">
        <x:v>As a listener, I want to select an album/song and see its details update.</x:v>
      </x:c>
      <x:c r="F24" s="26" t="str">
        <x:v>AlbumList calls onSelectAlbum on item click and highlights selected album; AlbumDisplay receives selected album.</x:v>
      </x:c>
      <x:c r="G24" s="26" t="str">
        <x:v>src/components/music/AlbumList.jsx; src/components/music/AlbumDisplay.jsx</x:v>
      </x:c>
      <x:c r="H24" s="26" t="str">
        <x:v>Click each album; verify highlight, artwork, song title, album, artist, and description update.</x:v>
      </x:c>
      <x:c r="I24" s="26" t="str">
        <x:v>Verified</x:v>
      </x:c>
      <x:c r="J24" s="26" t="str">
        <x:v>High</x:v>
      </x:c>
      <x:c r="K24" s="26" t="str">
        <x:v>D005</x:v>
      </x:c>
      <x:c r="L24" s="26" t="str">
        <x:v>Fixed</x:v>
      </x:c>
      <x:c r="M24" s="29" t="str">
        <x:v>2026-06-29</x:v>
      </x:c>
      <x:c r="N24" s="26" t="str">
        <x:v>Album rows are keyboard-selectable buttons; pressing Enter selected Eclipse and updated aria-pressed/detail state.</x:v>
      </x:c>
      <x:c r="O24" s="18" t="str">
        <x:v>Fixed by 9293d22.</x:v>
      </x:c>
    </x:row>
    <x:row r="25">
      <x:c r="A25" s="17" t="str">
        <x:v>F021</x:v>
      </x:c>
      <x:c r="B25" s="26" t="str">
        <x:v>Music</x:v>
      </x:c>
      <x:c r="C25" s="26" t="str">
        <x:v>/music/</x:v>
      </x:c>
      <x:c r="D25" s="26" t="str">
        <x:v>3D album display</x:v>
      </x:c>
      <x:c r="E25" s="26" t="str">
        <x:v>As a visitor, I want the selected album artwork to render as a physical/interactive object.</x:v>
      </x:c>
      <x:c r="F25" s="26" t="str">
        <x:v>AlbumDisplay creates a Three.js orthographic scene, maps artwork onto a CD-like mesh, responds to hover tilt, resize, and theme changes.</x:v>
      </x:c>
      <x:c r="G25" s="26" t="str">
        <x:v>src/components/music/AlbumDisplay.jsx</x:v>
      </x:c>
      <x:c r="H25" s="26" t="str">
        <x:v>Verify canvas renders artwork; move pointer; resize viewport; toggle theme; confirm no WebGL/texture errors.</x:v>
      </x:c>
      <x:c r="I25" s="26" t="str">
        <x:v>Verified</x:v>
      </x:c>
      <x:c r="J25" s="26" t="str">
        <x:v>High</x:v>
      </x:c>
      <x:c r="K25" s="26" t="str"/>
      <x:c r="L25" s="26" t="str">
        <x:v>No Fix Needed</x:v>
      </x:c>
      <x:c r="M25" s="29" t="str">
        <x:v>2026-06-29</x:v>
      </x:c>
      <x:c r="N25" s="26" t="str">
        <x:v>Music page rendered one canvas and album detail state without WebGL/console errors.</x:v>
      </x:c>
      <x:c r="O25" s="18" t="str"/>
    </x:row>
    <x:row r="26">
      <x:c r="A26" s="17" t="str">
        <x:v>F022</x:v>
      </x:c>
      <x:c r="B26" s="26" t="str">
        <x:v>Changelog</x:v>
      </x:c>
      <x:c r="C26" s="26" t="str">
        <x:v>/changelog/</x:v>
      </x:c>
      <x:c r="D26" s="26" t="str">
        <x:v>Changelog index</x:v>
      </x:c>
      <x:c r="E26" s="26" t="str">
        <x:v>As a returning visitor, I want to see site version history.</x:v>
      </x:c>
      <x:c r="F26" s="26" t="str">
        <x:v>Changelog index reads changelog collection and renders ChangelogCard entries with version badges and dates.</x:v>
      </x:c>
      <x:c r="G26" s="26" t="str">
        <x:v>src/pages/changelog/index.mdx; src/components/base/ChangelogCard.astro</x:v>
      </x:c>
      <x:c r="H26" s="26" t="str">
        <x:v>Open /changelog/; verify all entries, version badges, dates, links, and responsive layout.</x:v>
      </x:c>
      <x:c r="I26" s="26" t="str">
        <x:v>Verified</x:v>
      </x:c>
      <x:c r="J26" s="26" t="str">
        <x:v>Medium</x:v>
      </x:c>
      <x:c r="K26" s="26" t="str"/>
      <x:c r="L26" s="26" t="str">
        <x:v>No Fix Needed</x:v>
      </x:c>
      <x:c r="M26" s="29" t="str">
        <x:v>2026-06-29</x:v>
      </x:c>
      <x:c r="N26" s="26" t="str">
        <x:v>/changelog/ rendered 3 changelog links/cards with version/date text and no overflow.</x:v>
      </x:c>
      <x:c r="O26" s="18" t="str"/>
    </x:row>
    <x:row r="27">
      <x:c r="A27" s="17" t="str">
        <x:v>F023</x:v>
      </x:c>
      <x:c r="B27" s="26" t="str">
        <x:v>Changelog</x:v>
      </x:c>
      <x:c r="C27" s="26" t="str">
        <x:v>/changelog/{slug}/</x:v>
      </x:c>
      <x:c r="D27" s="26" t="str">
        <x:v>Changelog detail</x:v>
      </x:c>
      <x:c r="E27" s="26" t="str">
        <x:v>As a reader, I want each changelog entry to show version, date, reading time, body, and TOC.</x:v>
      </x:c>
      <x:c r="F27" s="26" t="str">
        <x:v>Changelog slug route renders version badge, metadata, MDX body, and optional Toc.</x:v>
      </x:c>
      <x:c r="G27" s="26" t="str">
        <x:v>src/pages/changelog/[...slug].astro; src/content/changelog/*.md</x:v>
      </x:c>
      <x:c r="H27" s="26" t="str">
        <x:v>Open each changelog detail; verify version/date/read-time/body/TOC and no console errors.</x:v>
      </x:c>
      <x:c r="I27" s="26" t="str">
        <x:v>Verified</x:v>
      </x:c>
      <x:c r="J27" s="26" t="str">
        <x:v>Medium</x:v>
      </x:c>
      <x:c r="K27" s="26" t="str"/>
      <x:c r="L27" s="26" t="str">
        <x:v>No Fix Needed</x:v>
      </x:c>
      <x:c r="M27" s="29" t="str">
        <x:v>2026-06-29</x:v>
      </x:c>
      <x:c r="N27" s="26" t="str">
        <x:v>/changelog/0-1-0/, /0-2-0/, and /0-2-1/ all returned 200 with TOC and no overflow/console issues.</x:v>
      </x:c>
      <x:c r="O27" s="18" t="str"/>
    </x:row>
    <x:row r="28">
      <x:c r="A28" s="17" t="str">
        <x:v>F024</x:v>
      </x:c>
      <x:c r="B28" s="26" t="str">
        <x:v>Tabbed Content</x:v>
      </x:c>
      <x:c r="C28" s="26" t="str">
        <x:v>/feeds/ /streams/</x:v>
      </x:c>
      <x:c r="D28" s="26" t="str">
        <x:v>Tabbed layout navigation</x:v>
      </x:c>
      <x:c r="E28" s="26" t="str">
        <x:v>As a visitor on feed/stream pages, I want to switch among Changelog, AstroBlog, and AstroStreams tabs.</x:v>
      </x:c>
      <x:c r="F28" s="26" t="str">
        <x:v>TabbedLayout renders UI.tabbedLayoutTabs, marks current path active, and links to configured routes.</x:v>
      </x:c>
      <x:c r="G28" s="26" t="str">
        <x:v>src/layouts/TabbedLayout.astro; src/config.ts</x:v>
      </x:c>
      <x:c r="H28" s="26" t="str">
        <x:v>Open /feeds/ and /streams/; verify tab labels, active state, links, focus behavior, and responsive layout.</x:v>
      </x:c>
      <x:c r="I28" s="26" t="str">
        <x:v>Verified</x:v>
      </x:c>
      <x:c r="J28" s="26" t="str">
        <x:v>Medium</x:v>
      </x:c>
      <x:c r="K28" s="26" t="str"/>
      <x:c r="L28" s="26" t="str">
        <x:v>No Fix Needed</x:v>
      </x:c>
      <x:c r="M28" s="29" t="str">
        <x:v>2026-06-29</x:v>
      </x:c>
      <x:c r="N28" s="26" t="str">
        <x:v>/feeds/ and /streams/ rendered tabbed navigation labels Changelog / AstroBlog / AstroStreams.</x:v>
      </x:c>
      <x:c r="O28" s="18" t="str"/>
    </x:row>
    <x:row r="29">
      <x:c r="A29" s="17" t="str">
        <x:v>F025</x:v>
      </x:c>
      <x:c r="B29" s="26" t="str">
        <x:v>Feeds</x:v>
      </x:c>
      <x:c r="C29" s="26" t="str">
        <x:v>/feeds/</x:v>
      </x:c>
      <x:c r="D29" s="26" t="str">
        <x:v>External Astro RSS feed list</x:v>
      </x:c>
      <x:c r="E29" s="26" t="str">
        <x:v>As a visitor, I want external Astro blog feed items grouped by year with dates and links.</x:v>
      </x:c>
      <x:c r="F29" s="26" t="str">
        <x:v>feeds collection uses @ascorbic/feed-loader and ListView renders sorted feed items with optional year TOC.</x:v>
      </x:c>
      <x:c r="G29" s="26" t="str">
        <x:v>src/pages/feeds.mdx; src/content/config.ts; src/components/views/ListView.astro</x:v>
      </x:c>
      <x:c r="H29" s="26" t="str">
        <x:v>Open /feeds/; verify feed items, dates, external links, year grouping, TOC, and loader freshness behavior.</x:v>
      </x:c>
      <x:c r="I29" s="26" t="str">
        <x:v>Verified</x:v>
      </x:c>
      <x:c r="J29" s="26" t="str">
        <x:v>Medium</x:v>
      </x:c>
      <x:c r="K29" s="26" t="str"/>
      <x:c r="L29" s="26" t="str">
        <x:v>No Fix Needed</x:v>
      </x:c>
      <x:c r="M29" s="29" t="str">
        <x:v>2026-06-29</x:v>
      </x:c>
      <x:c r="N29" s="26" t="str">
        <x:v>/feeds/ rendered 196 main links, year grouping, and TOC with no overflow.</x:v>
      </x:c>
      <x:c r="O29" s="18" t="str">
        <x:v>Feed freshness remains upstream-network/cache dependent.</x:v>
      </x:c>
    </x:row>
    <x:row r="30">
      <x:c r="A30" s="17" t="str">
        <x:v>F026</x:v>
      </x:c>
      <x:c r="B30" s="26" t="str">
        <x:v>Streams</x:v>
      </x:c>
      <x:c r="C30" s="26" t="str">
        <x:v>/streams/</x:v>
      </x:c>
      <x:c r="D30" s="26" t="str">
        <x:v>Local stream/media list</x:v>
      </x:c>
      <x:c r="E30" s="26" t="str">
        <x:v>As a visitor, I want curated external video/audio resources grouped by year.</x:v>
      </x:c>
      <x:c r="F30" s="26" t="str">
        <x:v>streams collection reads local JSON and ListView renders sorted stream items with video/radio/platform markers.</x:v>
      </x:c>
      <x:c r="G30" s="26" t="str">
        <x:v>src/pages/streams.mdx; src/content/streams/data.json; src/components/views/ListView.astro</x:v>
      </x:c>
      <x:c r="H30" s="26" t="str">
        <x:v>Open /streams/; verify all stream items, icons, platform labels, external links, and grouping.</x:v>
      </x:c>
      <x:c r="I30" s="26" t="str">
        <x:v>Verified</x:v>
      </x:c>
      <x:c r="J30" s="26" t="str">
        <x:v>Low</x:v>
      </x:c>
      <x:c r="K30" s="26" t="str"/>
      <x:c r="L30" s="26" t="str">
        <x:v>No Fix Needed</x:v>
      </x:c>
      <x:c r="M30" s="29" t="str">
        <x:v>2026-06-29</x:v>
      </x:c>
      <x:c r="N30" s="26" t="str">
        <x:v>/streams/ rendered 14 main links and grouped stream entries with no overflow.</x:v>
      </x:c>
      <x:c r="O30" s="18" t="str">
        <x:v>Content is still demo Astro stream data.</x:v>
      </x:c>
    </x:row>
    <x:row r="31">
      <x:c r="A31" s="17" t="str">
        <x:v>F027</x:v>
      </x:c>
      <x:c r="B31" s="26" t="str">
        <x:v>GitHub Activity</x:v>
      </x:c>
      <x:c r="C31" s="26" t="str">
        <x:v>/releases/</x:v>
      </x:c>
      <x:c r="D31" s="26" t="str">
        <x:v>GitHub releases activity page</x:v>
      </x:c>
      <x:c r="E31" s="26" t="str">
        <x:v>As a visitor, I want to see recent releases from configured Astro ecosystem repositories.</x:v>
      </x:c>
      <x:c r="F31" s="26" t="str">
        <x:v>releases collection uses astro-loader-github-releases; GithubView transforms releases into logo/version/detail cards.</x:v>
      </x:c>
      <x:c r="G31" s="26" t="str">
        <x:v>src/pages/releases.mdx; src/content/config.ts; src/components/views/GithubView.astro</x:v>
      </x:c>
      <x:c r="H31" s="26" t="str">
        <x:v>Open /releases/ with and without GITHUB_TOKEN; verify cards or clear empty/error state, details expansion, external links, and footer.</x:v>
      </x:c>
      <x:c r="I31" s="26" t="str">
        <x:v>Verified</x:v>
      </x:c>
      <x:c r="J31" s="26" t="str">
        <x:v>Medium</x:v>
      </x:c>
      <x:c r="K31" s="26" t="str">
        <x:v>D002</x:v>
      </x:c>
      <x:c r="L31" s="26" t="str">
        <x:v>Fixed</x:v>
      </x:c>
      <x:c r="M31" s="29" t="str">
        <x:v>2026-06-29</x:v>
      </x:c>
      <x:c r="N31" s="26" t="str">
        <x:v>/releases/ shows clear optional build-time integration fallback with GITHUB_TOKEN instruction when no token is present.</x:v>
      </x:c>
      <x:c r="O31" s="18" t="str">
        <x:v>Fixed by 4efbc6a and copy/template cleanup by ed43d6e.</x:v>
      </x:c>
    </x:row>
    <x:row r="32">
      <x:c r="A32" s="17" t="str">
        <x:v>F028</x:v>
      </x:c>
      <x:c r="B32" s="26" t="str">
        <x:v>GitHub Activity</x:v>
      </x:c>
      <x:c r="C32" s="26" t="str">
        <x:v>/prs/</x:v>
      </x:c>
      <x:c r="D32" s="26" t="str">
        <x:v>GitHub PR activity page</x:v>
      </x:c>
      <x:c r="E32" s="26" t="str">
        <x:v>As a visitor, I want to see recent non-draft/non-chore pull requests from configured repositories.</x:v>
      </x:c>
      <x:c r="F32" s="26" t="str">
        <x:v>prs collection uses astro-loader-github-prs; GithubView filters closed/draft/chore/docs/i18n items and renders PR cards.</x:v>
      </x:c>
      <x:c r="G32" s="26" t="str">
        <x:v>src/pages/prs.mdx; src/content/config.ts; src/components/views/GithubView.astro</x:v>
      </x:c>
      <x:c r="H32" s="26" t="str">
        <x:v>Open /prs/ with and without GITHUB_TOKEN; verify cards or clear empty/error state, details expansion, external links, and footer.</x:v>
      </x:c>
      <x:c r="I32" s="26" t="str">
        <x:v>Verified</x:v>
      </x:c>
      <x:c r="J32" s="26" t="str">
        <x:v>Medium</x:v>
      </x:c>
      <x:c r="K32" s="26" t="str">
        <x:v>D002</x:v>
      </x:c>
      <x:c r="L32" s="26" t="str">
        <x:v>Fixed</x:v>
      </x:c>
      <x:c r="M32" s="29" t="str">
        <x:v>2026-06-29</x:v>
      </x:c>
      <x:c r="N32" s="26" t="str">
        <x:v>/prs/ shows clear optional build-time integration fallback with GITHUB_TOKEN instruction when no token is present.</x:v>
      </x:c>
      <x:c r="O32" s="18" t="str">
        <x:v>Fixed by 4efbc6a and copy/template cleanup by ed43d6e.</x:v>
      </x:c>
    </x:row>
    <x:row r="33">
      <x:c r="A33" s="17" t="str">
        <x:v>F029</x:v>
      </x:c>
      <x:c r="B33" s="26" t="str">
        <x:v>RSS</x:v>
      </x:c>
      <x:c r="C33" s="26" t="str">
        <x:v>/rss.xml</x:v>
      </x:c>
      <x:c r="D33" s="26" t="str">
        <x:v>RSS feed</x:v>
      </x:c>
      <x:c r="E33" s="26" t="str">
        <x:v>As a reader using RSS, I want a valid feed of non-draft blog posts.</x:v>
      </x:c>
      <x:c r="F33" s="26" t="str">
        <x:v>rss.xml.js filters non-draft blog posts, sorts newest first, and emits title/link/pubDate/description/author.</x:v>
      </x:c>
      <x:c r="G33" s="26" t="str">
        <x:v>src/pages/rss.xml.js</x:v>
      </x:c>
      <x:c r="H33" s="26" t="str">
        <x:v>Open /rss.xml; validate XML, feed metadata, item links, date order, and stylesheet link.</x:v>
      </x:c>
      <x:c r="I33" s="26" t="str">
        <x:v>Verified</x:v>
      </x:c>
      <x:c r="J33" s="26" t="str">
        <x:v>High</x:v>
      </x:c>
      <x:c r="K33" s="26" t="str"/>
      <x:c r="L33" s="26" t="str">
        <x:v>No Fix Needed</x:v>
      </x:c>
      <x:c r="M33" s="29" t="str">
        <x:v>2026-06-29</x:v>
      </x:c>
      <x:c r="N33" s="26" t="str">
        <x:v>/rss.xml returned 200 XML with 1 item and TK site title.</x:v>
      </x:c>
      <x:c r="O33" s="18" t="str"/>
    </x:row>
    <x:row r="34">
      <x:c r="A34" s="17" t="str">
        <x:v>F030</x:v>
      </x:c>
      <x:c r="B34" s="26" t="str">
        <x:v>PWA</x:v>
      </x:c>
      <x:c r="C34" s="26" t="str">
        <x:v>/manifest.webmanifest</x:v>
      </x:c>
      <x:c r="D34" s="26" t="str">
        <x:v>Web app manifest</x:v>
      </x:c>
      <x:c r="E34" s="26" t="str">
        <x:v>As a browser, I want app identity, icons, scope, start_url, display, and colors.</x:v>
      </x:c>
      <x:c r="F34" s="26" t="str">
        <x:v>manifest.webmanifest.js returns JSON manifest with icon paths and standalone display.</x:v>
      </x:c>
      <x:c r="G34" s="26" t="str">
        <x:v>src/pages/manifest.webmanifest.js</x:v>
      </x:c>
      <x:c r="H34" s="26" t="str">
        <x:v>Open manifest; verify JSON, icon URLs, app name/description, theme/background colors.</x:v>
      </x:c>
      <x:c r="I34" s="26" t="str">
        <x:v>Verified</x:v>
      </x:c>
      <x:c r="J34" s="26" t="str">
        <x:v>Low</x:v>
      </x:c>
      <x:c r="K34" s="26" t="str">
        <x:v>D003</x:v>
      </x:c>
      <x:c r="L34" s="26" t="str">
        <x:v>Fixed</x:v>
      </x:c>
      <x:c r="M34" s="29" t="str">
        <x:v>2026-06-29</x:v>
      </x:c>
      <x:c r="N34" s="26" t="str">
        <x:v>/manifest.webmanifest returned name "TK's Homepage", short_name "TK Home", site description, #0a0a0a theme color, and 3 icons.</x:v>
      </x:c>
      <x:c r="O34" s="18" t="str">
        <x:v>Fixed by f1aacee.</x:v>
      </x:c>
    </x:row>
    <x:row r="35">
      <x:c r="A35" s="17" t="str">
        <x:v>F031</x:v>
      </x:c>
      <x:c r="B35" s="26" t="str">
        <x:v>Errors</x:v>
      </x:c>
      <x:c r="C35" s="26" t="str">
        <x:v>/404.html</x:v>
      </x:c>
      <x:c r="D35" s="26" t="str">
        <x:v>404 page</x:v>
      </x:c>
      <x:c r="E35" s="26" t="str">
        <x:v>As a visitor hitting a missing route, I want a styled error page with a path back.</x:v>
      </x:c>
      <x:c r="F35" s="26" t="str">
        <x:v>404.mdx uses BaseLayout and StandardLayout.</x:v>
      </x:c>
      <x:c r="G35" s="26" t="str">
        <x:v>src/pages/404.mdx</x:v>
      </x:c>
      <x:c r="H35" s="26" t="str">
        <x:v>Visit missing route; verify 404 page content, layout, nav/back behavior, and HTTP/preview handling.</x:v>
      </x:c>
      <x:c r="I35" s="26" t="str">
        <x:v>Verified</x:v>
      </x:c>
      <x:c r="J35" s="26" t="str">
        <x:v>Medium</x:v>
      </x:c>
      <x:c r="K35" s="26" t="str"/>
      <x:c r="L35" s="26" t="str">
        <x:v>No Fix Needed</x:v>
      </x:c>
      <x:c r="M35" s="29" t="str">
        <x:v>2026-06-29</x:v>
      </x:c>
      <x:c r="N35" s="26" t="str">
        <x:v>/404.html returns styled 404 page; missing route /not-a-real-route-for-qa-2026 returns HTTP 404 with same styled page.</x:v>
      </x:c>
      <x:c r="O35" s="18" t="str"/>
    </x:row>
    <x:row r="36">
      <x:c r="A36" s="17" t="str">
        <x:v>F032</x:v>
      </x:c>
      <x:c r="B36" s="26" t="str">
        <x:v>Search</x:v>
      </x:c>
      <x:c r="C36" s="26" t="str">
        <x:v>Global/navigation</x:v>
      </x:c>
      <x:c r="D36" s="26" t="str">
        <x:v>Pagefind search panel</x:v>
      </x:c>
      <x:c r="E36" s="26" t="str">
        <x:v>As a reader, I want to search site content from the navigation.</x:v>
      </x:c>
      <x:c r="F36" s="26" t="str">
        <x:v>SearchSwitch renders a search button/panel, dev fake results, production Pagefind import, and mobile backdrop behavior.</x:v>
      </x:c>
      <x:c r="G36" s="26" t="str">
        <x:v>src/components/widgets/SearchSwitch.astro; src/config.ts; package.json postbuild</x:v>
      </x:c>
      <x:c r="H36" s="26" t="str">
        <x:v>Find search entry point; click; type query; verify results and panel close behavior on desktop/mobile.</x:v>
      </x:c>
      <x:c r="I36" s="26" t="str">
        <x:v>Verified</x:v>
      </x:c>
      <x:c r="J36" s="26" t="str">
        <x:v>High</x:v>
      </x:c>
      <x:c r="K36" s="26" t="str">
        <x:v>D001</x:v>
      </x:c>
      <x:c r="L36" s="26" t="str">
        <x:v>Fixed</x:v>
      </x:c>
      <x:c r="M36" s="29" t="str">
        <x:v>2026-06-29</x:v>
      </x:c>
      <x:c r="N36" s="26" t="str">
        <x:v>SEARCH visible in nav; production Pagefind query "server" returned the article result; mobile search panel width 351/390 with backdrop.</x:v>
      </x:c>
      <x:c r="O36" s="18" t="str">
        <x:v>Fixed by 0623cc8.</x:v>
      </x:c>
    </x:row>
    <x:row r="37">
      <x:c r="A37" s="17" t="str">
        <x:v>F033</x:v>
      </x:c>
      <x:c r="B37" s="26" t="str">
        <x:v>Sharing</x:v>
      </x:c>
      <x:c r="C37" s="26" t="str">
        <x:v>Article pages</x:v>
      </x:c>
      <x:c r="D37" s="26" t="str">
        <x:v>Social share links</x:v>
      </x:c>
      <x:c r="E37" s="26" t="str">
        <x:v>As a reader, I want a convenient way to share articles.</x:v>
      </x:c>
      <x:c r="F37" s="26" t="str">
        <x:v>FEATURES.share enables Twitter; ShareLink can build multiple platform links, but pages do not currently provide a share slot.</x:v>
      </x:c>
      <x:c r="G37" s="26" t="str">
        <x:v>src/config.ts; src/components/widgets/ShareLink.astro; src/layouts/BaseLayout.astro</x:v>
      </x:c>
      <x:c r="H37" s="26" t="str">
        <x:v>Open article; verify whether share UI appears; if absent, decide if feature should be wired or disabled.</x:v>
      </x:c>
      <x:c r="I37" s="26" t="str">
        <x:v>Verified</x:v>
      </x:c>
      <x:c r="J37" s="26" t="str">
        <x:v>Medium</x:v>
      </x:c>
      <x:c r="K37" s="26" t="str">
        <x:v>D006</x:v>
      </x:c>
      <x:c r="L37" s="26" t="str">
        <x:v>Fixed</x:v>
      </x:c>
      <x:c r="M37" s="29" t="str">
        <x:v>2026-06-29</x:v>
      </x:c>
      <x:c r="N37" s="26" t="str">
        <x:v>Article renders Twitter share link to twitter.com/intent/tweet using the canonical article URL.</x:v>
      </x:c>
      <x:c r="O37" s="18" t="str">
        <x:v>Fixed by af7553f.</x:v>
      </x:c>
    </x:row>
    <x:row r="38">
      <x:c r="A38" s="17" t="str">
        <x:v>F034</x:v>
      </x:c>
      <x:c r="B38" s="26" t="str">
        <x:v>Backgrounds</x:v>
      </x:c>
      <x:c r="C38" s="26" t="str">
        <x:v>Pages with bgType</x:v>
      </x:c>
      <x:c r="D38" s="26" t="str">
        <x:v>Animated/static backgrounds</x:v>
      </x:c>
      <x:c r="E38" s="26" t="str">
        <x:v>As a visitor, I want backgrounds to support the visual identity without blocking content.</x:v>
      </x:c>
      <x:c r="F38" s="26" t="str">
        <x:v>Background selects Plum, Dot, Rose, or Particle components by page bgType.</x:v>
      </x:c>
      <x:c r="G38" s="26" t="str">
        <x:v>src/components/backgrounds/*.astro; src/layouts/BaseLayout.astro; src/pages/*.mdx</x:v>
      </x:c>
      <x:c r="H38" s="26" t="str">
        <x:v>Visit dot/plum pages; inspect background layering, no pointer interference, no console errors, light/dark contrast.</x:v>
      </x:c>
      <x:c r="I38" s="26" t="str">
        <x:v>Verified</x:v>
      </x:c>
      <x:c r="J38" s="26" t="str">
        <x:v>Medium</x:v>
      </x:c>
      <x:c r="K38" s="26" t="str"/>
      <x:c r="L38" s="26" t="str">
        <x:v>No Fix Needed</x:v>
      </x:c>
      <x:c r="M38" s="29" t="str">
        <x:v>2026-06-29</x:v>
      </x:c>
      <x:c r="N38" s="26" t="str">
        <x:v>Pages with bgType/backgrounds rendered without pointer interference, overflow, or console warning/error in production preview.</x:v>
      </x:c>
      <x:c r="O38" s="18" t="str">
        <x:v>Rose/Particle remain available but are not used by current public routes.</x:v>
      </x:c>
    </x:row>
    <x:row r="39">
      <x:c r="A39" s="17" t="str">
        <x:v>F035</x:v>
      </x:c>
      <x:c r="B39" s="26" t="str">
        <x:v>Build</x:v>
      </x:c>
      <x:c r="C39" s="26" t="str">
        <x:v>Production build</x:v>
      </x:c>
      <x:c r="D39" s="26" t="str">
        <x:v>Pagefind search index generation</x:v>
      </x:c>
      <x:c r="E39" s="26" t="str">
        <x:v>As a production user, I want search data generated after build.</x:v>
      </x:c>
      <x:c r="F39" s="26" t="str">
        <x:v>package.json postbuild runs pagefind --site dist and removes UI assets.</x:v>
      </x:c>
      <x:c r="G39" s="26" t="str">
        <x:v>package.json</x:v>
      </x:c>
      <x:c r="H39" s="26" t="str">
        <x:v>Run production build; verify pagefind index exists and indexed pages match searchable content.</x:v>
      </x:c>
      <x:c r="I39" s="26" t="str">
        <x:v>Build Verified</x:v>
      </x:c>
      <x:c r="J39" s="26" t="str">
        <x:v>Medium</x:v>
      </x:c>
      <x:c r="K39" s="26" t="str"/>
      <x:c r="L39" s="26" t="str">
        <x:v>No Fix Needed</x:v>
      </x:c>
      <x:c r="M39" s="29" t="str">
        <x:v>2026-06-29</x:v>
      </x:c>
      <x:c r="N39" s="26" t="str">
        <x:v>pnpm build ran Pagefind successfully: 4 pages indexed, 335 words, output in dist/pagefind.</x:v>
      </x:c>
      <x:c r="O39" s="18" t="str"/>
    </x:row>
    <x:row r="40">
      <x:c r="A40" s="17" t="str">
        <x:v>F036</x:v>
      </x:c>
      <x:c r="B40" s="26" t="str">
        <x:v>Build</x:v>
      </x:c>
      <x:c r="C40" s="26" t="str">
        <x:v>Production build</x:v>
      </x:c>
      <x:c r="D40" s="26" t="str">
        <x:v>Sitemap and robots generation</x:v>
      </x:c>
      <x:c r="E40" s="26" t="str">
        <x:v>As a crawler, I want sitemap and robots assets generated for the deployed site.</x:v>
      </x:c>
      <x:c r="F40" s="26" t="str">
        <x:v>Astro config includes @astrojs/sitemap and astro-robots-txt.</x:v>
      </x:c>
      <x:c r="G40" s="26" t="str">
        <x:v>astro.config.ts</x:v>
      </x:c>
      <x:c r="H40" s="26" t="str">
        <x:v>Run build; verify dist/sitemap-index.xml and dist/robots.txt and site URL correctness.</x:v>
      </x:c>
      <x:c r="I40" s="26" t="str">
        <x:v>Build Verified</x:v>
      </x:c>
      <x:c r="J40" s="26" t="str">
        <x:v>Medium</x:v>
      </x:c>
      <x:c r="K40" s="26" t="str"/>
      <x:c r="L40" s="26" t="str">
        <x:v>No Fix Needed</x:v>
      </x:c>
      <x:c r="M40" s="29" t="str">
        <x:v>2026-06-29</x:v>
      </x:c>
      <x:c r="N40" s="26" t="str">
        <x:v>pnpm build generated dist/sitemap-index.xml and dist/robots.txt.</x:v>
      </x:c>
      <x:c r="O40" s="18" t="str"/>
    </x:row>
    <x:row r="41">
      <x:c r="A41" s="17" t="str">
        <x:v>F037</x:v>
      </x:c>
      <x:c r="B41" s="26" t="str">
        <x:v>Content Data</x:v>
      </x:c>
      <x:c r="C41" s="26" t="str">
        <x:v>Build/content collections</x:v>
      </x:c>
      <x:c r="D41" s="26" t="str">
        <x:v>Content schema validation</x:v>
      </x:c>
      <x:c r="E41" s="26" t="str">
        <x:v>As the site owner, I want content files to fail fast when required fields are missing or malformed.</x:v>
      </x:c>
      <x:c r="F41" s="26" t="str">
        <x:v>content/config.ts defines schemas for pages, blog, projects, changelog, streams, feeds, releases, PRs, and home.</x:v>
      </x:c>
      <x:c r="G41" s="26" t="str">
        <x:v>src/content/config.ts; src/content/schema.ts</x:v>
      </x:c>
      <x:c r="H41" s="26" t="str">
        <x:v>Run astro check/build; intentionally inspect known data-backed routes for schema-driven rendering.</x:v>
      </x:c>
      <x:c r="I41" s="26" t="str">
        <x:v>Build Verified</x:v>
      </x:c>
      <x:c r="J41" s="26" t="str">
        <x:v>High</x:v>
      </x:c>
      <x:c r="K41" s="26" t="str"/>
      <x:c r="L41" s="26" t="str">
        <x:v>No Fix Needed</x:v>
      </x:c>
      <x:c r="M41" s="29" t="str">
        <x:v>2026-06-29</x:v>
      </x:c>
      <x:c r="N41" s="26" t="str">
        <x:v>pnpm check reported 0 errors, 0 warnings, 0 hints across 72 files.</x:v>
      </x:c>
      <x:c r="O41" s="18" t="str"/>
    </x:row>
    <x:row r="42">
      <x:c r="A42" s="17" t="str">
        <x:v>F038</x:v>
      </x:c>
      <x:c r="B42" s="26" t="str">
        <x:v>OG Images</x:v>
      </x:c>
      <x:c r="C42" s="26" t="str">
        <x:v>Build/content processing</x:v>
      </x:c>
      <x:c r="D42" s="26" t="str">
        <x:v>Dynamic Open Graph image generation</x:v>
      </x:c>
      <x:c r="E42" s="26" t="str">
        <x:v>As a site owner, I want content pages to have generated share images when enabled.</x:v>
      </x:c>
      <x:c r="F42" s="26" t="str">
        <x:v>remark-generate-og-image uses Satori/Sharp, og-template markup, and FEATURE ogImage config.</x:v>
      </x:c>
      <x:c r="G42" s="26" t="str">
        <x:v>plugins/remark-generate-og-image.ts; plugins/og-template/*; src/config.ts</x:v>
      </x:c>
      <x:c r="H42" s="26" t="str">
        <x:v>Build site; inspect public/og-images output and article metadata choosing generated/fallback image.</x:v>
      </x:c>
      <x:c r="I42" s="26" t="str">
        <x:v>Build Verified</x:v>
      </x:c>
      <x:c r="J42" s="26" t="str">
        <x:v>Medium</x:v>
      </x:c>
      <x:c r="K42" s="26" t="str"/>
      <x:c r="L42" s="26" t="str">
        <x:v>No Fix Needed</x:v>
      </x:c>
      <x:c r="M42" s="29" t="str">
        <x:v>2026-06-29</x:v>
      </x:c>
      <x:c r="N42" s="26" t="str">
        <x:v>Production build completed with OG image generation pipeline enabled and no plugin errors.</x:v>
      </x:c>
      <x:c r="O42" s="18" t="str">
        <x:v>Article metadata spot-checked during route regression.</x:v>
      </x:c>
    </x:row>
    <x:row r="43">
      <x:c r="A43" s="17" t="str">
        <x:v>F039</x:v>
      </x:c>
      <x:c r="B43" s="26" t="str">
        <x:v>Components</x:v>
      </x:c>
      <x:c r="C43" s="26" t="str">
        <x:v>Codebase</x:v>
      </x:c>
      <x:c r="D43" s="26" t="str">
        <x:v>Reusable nav widgets</x:v>
      </x:c>
      <x:c r="E43" s="26" t="str">
        <x:v>As a maintainer, I want reusable navigation components to match config when used.</x:v>
      </x:c>
      <x:c r="F43" s="26" t="str">
        <x:v>NavItem, NavSwitch, RssLink, LogoButton, SearchSwitch, ShareLink exist as widgets/base components.</x:v>
      </x:c>
      <x:c r="G43" s="26" t="str">
        <x:v>src/components/widgets/*.astro; src/components/base/NavItem.astro</x:v>
      </x:c>
      <x:c r="H43" s="26" t="str">
        <x:v>Verify which components are actually reachable; remove, wire, or mark intentionally unused.</x:v>
      </x:c>
      <x:c r="I43" s="26" t="str">
        <x:v>Deferred</x:v>
      </x:c>
      <x:c r="J43" s="26" t="str">
        <x:v>Low</x:v>
      </x:c>
      <x:c r="K43" s="26" t="str">
        <x:v>D007</x:v>
      </x:c>
      <x:c r="L43" s="26" t="str">
        <x:v>Deferred</x:v>
      </x:c>
      <x:c r="M43" s="29" t="str">
        <x:v>2026-06-29</x:v>
      </x:c>
      <x:c r="N43" s="26" t="str">
        <x:v>Custom NavBar now exposes the intended public nav/search/theme behavior; remaining unused upstream widgets have no current visitor-visible impact.</x:v>
      </x:c>
      <x:c r="O43" s="18" t="str">
        <x:v>Maintenance backlog only; not a UX/logistical release blocker.</x:v>
      </x:c>
    </x:row>
    <x:row r="44">
      <x:c r="A44" s="17" t="str">
        <x:v>F040</x:v>
      </x:c>
      <x:c r="B44" s="26" t="str">
        <x:v>Links</x:v>
      </x:c>
      <x:c r="C44" s="26" t="str">
        <x:v>All public pages</x:v>
      </x:c>
      <x:c r="D44" s="26" t="str">
        <x:v>Internal/external link behavior</x:v>
      </x:c>
      <x:c r="E44" s="26" t="str">
        <x:v>As a visitor, I want links to route correctly and external links to be understandable.</x:v>
      </x:c>
      <x:c r="F44" s="26" t="str">
        <x:v>Link.astro adds external title text; list/project/GitHub components use links to local and external targets.</x:v>
      </x:c>
      <x:c r="G44" s="26" t="str">
        <x:v>src/components/base/Link.astro; src/components/views/*.astro; src/components/base/ProjectCard.astro</x:v>
      </x:c>
      <x:c r="H44" s="26" t="str">
        <x:v>Crawl visible links; verify internal 200s, external targets, new tab behavior where intended, and no broken /blog customizer link.</x:v>
      </x:c>
      <x:c r="I44" s="26" t="str">
        <x:v>Verified</x:v>
      </x:c>
      <x:c r="J44" s="26" t="str">
        <x:v>High</x:v>
      </x:c>
      <x:c r="K44" s="26" t="str"/>
      <x:c r="L44" s="26" t="str">
        <x:v>Fixed</x:v>
      </x:c>
      <x:c r="M44" s="29" t="str">
        <x:v>2026-06-29</x:v>
      </x:c>
      <x:c r="N44" s="26" t="str">
        <x:v>Static crawl checked 302 local href/src refs across 14 HTML files with 0 broken refs.</x:v>
      </x:c>
      <x:c r="O44" s="18" t="str">
        <x:v>Broken GitHub activity config link/template copy fixed by ed43d6e.</x:v>
      </x:c>
    </x:row>
    <x:row r="45">
      <x:c r="A45" s="17" t="str">
        <x:v>F041</x:v>
      </x:c>
      <x:c r="B45" s="26" t="str">
        <x:v>Responsive QA</x:v>
      </x:c>
      <x:c r="C45" s="26" t="str">
        <x:v>All public pages</x:v>
      </x:c>
      <x:c r="D45" s="26" t="str">
        <x:v>Mobile usability</x:v>
      </x:c>
      <x:c r="E45" s="26" t="str">
        <x:v>As a phone visitor, I want the site to remain readable, touchable, and free of horizontal overflow.</x:v>
      </x:c>
      <x:c r="F45" s="26" t="str">
        <x:v>Pages/components use responsive Tailwind classes, fixed overlays, and mobile-specific TOC/search/back-to-top behavior.</x:v>
      </x:c>
      <x:c r="G45" s="26" t="str">
        <x:v>src/styles/*.css; src/components/**/*.astro; src/components/music/*.jsx</x:v>
      </x:c>
      <x:c r="H45" s="26" t="str">
        <x:v>Test 390x844 and 375x812 across core routes; verify no horizontal overflow, clipped controls, or unreachable content.</x:v>
      </x:c>
      <x:c r="I45" s="26" t="str">
        <x:v>Verified</x:v>
      </x:c>
      <x:c r="J45" s="26" t="str">
        <x:v>High</x:v>
      </x:c>
      <x:c r="K45" s="26" t="str"/>
      <x:c r="L45" s="26" t="str">
        <x:v>No Fix Needed</x:v>
      </x:c>
      <x:c r="M45" s="29" t="str">
        <x:v>2026-06-29</x:v>
      </x:c>
      <x:c r="N45" s="26" t="str">
        <x:v>390x844 mobile checks passed for home, search overlay, TOC overlay, and core routes with no horizontal overflow.</x:v>
      </x:c>
      <x:c r="O45" s="18" t="str"/>
    </x:row>
    <x:row r="46">
      <x:c r="A46" s="17" t="str">
        <x:v>F042</x:v>
      </x:c>
      <x:c r="B46" s="26" t="str">
        <x:v>Analytics</x:v>
      </x:c>
      <x:c r="C46" s="26" t="str">
        <x:v>All pages</x:v>
      </x:c>
      <x:c r="D46" s="26" t="str">
        <x:v>Vercel analytics inclusion</x:v>
      </x:c>
      <x:c r="E46" s="26" t="str">
        <x:v>As the site owner, I want basic analytics available in production.</x:v>
      </x:c>
      <x:c r="F46" s="26" t="str">
        <x:v>BaseLayout includes @vercel/analytics/astro.</x:v>
      </x:c>
      <x:c r="G46" s="26" t="str">
        <x:v>src/layouts/BaseLayout.astro</x:v>
      </x:c>
      <x:c r="H46" s="26" t="str">
        <x:v>Inspect production build/page source; verify analytics script loads only as expected and causes no console errors.</x:v>
      </x:c>
      <x:c r="I46" s="26" t="str">
        <x:v>Verified</x:v>
      </x:c>
      <x:c r="J46" s="26" t="str">
        <x:v>Low</x:v>
      </x:c>
      <x:c r="K46" s="26" t="str"/>
      <x:c r="L46" s="26" t="str">
        <x:v>No Fix Needed</x:v>
      </x:c>
      <x:c r="M46" s="29" t="str">
        <x:v>2026-06-29</x:v>
      </x:c>
      <x:c r="N46" s="26" t="str">
        <x:v>Vercel analytics inclusion produced only expected local-development log; final route regression found no warning/error console entries.</x:v>
      </x:c>
      <x:c r="O46" s="18" t="str"/>
    </x:row>
    <x:row r="47">
      <x:c r="A47" s="19" t="str">
        <x:v>F043</x:v>
      </x:c>
      <x:c r="B47" s="27" t="str">
        <x:v>CI/CD</x:v>
      </x:c>
      <x:c r="C47" s="27" t="str">
        <x:v>GitHub Actions</x:v>
      </x:c>
      <x:c r="D47" s="27" t="str">
        <x:v>Continuous integration and scheduled deploy workflow</x:v>
      </x:c>
      <x:c r="E47" s="27" t="str">
        <x:v>As maintainer, I want automated checks/deploy jobs to target the correct repository and dependencies.</x:v>
      </x:c>
      <x:c r="F47" s="27" t="str">
        <x:v>CI and scheduled Vercel deploy workflows are configured under .github/workflows.</x:v>
      </x:c>
      <x:c r="G47" s="27" t="str">
        <x:v>.github/workflows/ci.yml; .github/workflows/scheduled-vercel-deploy.yml</x:v>
      </x:c>
      <x:c r="H47" s="27" t="str">
        <x:v>Inspect workflow triggers/commands; optionally run local equivalent; verify repo names and package manager align.</x:v>
      </x:c>
      <x:c r="I47" s="27" t="str">
        <x:v>Build Verified</x:v>
      </x:c>
      <x:c r="J47" s="27" t="str">
        <x:v>Medium</x:v>
      </x:c>
      <x:c r="K47" s="27" t="str"/>
      <x:c r="L47" s="27" t="str">
        <x:v>No Fix Needed</x:v>
      </x:c>
      <x:c r="M47" s="30" t="str">
        <x:v>2026-06-29</x:v>
      </x:c>
      <x:c r="N47" s="27" t="str">
        <x:v>Local CI equivalent passed: pnpm check; pnpm lint; pnpm format; pnpm build.</x:v>
      </x:c>
      <x:c r="O47" s="20" t="str"/>
    </x:row>
  </x:sheetData>
  <x:mergeCells>
    <x:mergeCell ref="A1:O1"/>
    <x:mergeCell ref="A2:N2"/>
  </x:mergeCells>
  <x:dataValidations count="3">
    <x:dataValidation type="list" sqref="I5:I47">
      <x:formula1>"Not Tested,Build Verified,Needs Browser Verification,Defect Open,Fixed - Retest Pending,Verified,Deferred"</x:formula1>
    </x:dataValidation>
    <x:dataValidation type="list" sqref="J5:J47">
      <x:formula1>"Critical,High,Medium,Low,Cosmetic,N/A"</x:formula1>
    </x:dataValidation>
    <x:dataValidation type="list" sqref="L5:L47">
      <x:formula1>"No Fix Needed,Open,Pending Fix,Fixed,Retest Pending,Deferred"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ea4b07f70c4e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22" hidden="0" customWidth="1"/>
    <x:col min="5" max="5" width="16" hidden="0" customWidth="1"/>
    <x:col min="6" max="6" width="42" hidden="0" customWidth="1"/>
    <x:col min="7" max="7" width="62" hidden="0" customWidth="1"/>
    <x:col min="8" max="8" width="56" hidden="0" customWidth="1"/>
    <x:col min="9" max="9" width="56" hidden="0" customWidth="1"/>
    <x:col min="10" max="10" width="32" hidden="0" customWidth="1"/>
    <x:col min="11" max="11" width="54" hidden="0" customWidth="1"/>
    <x:col min="12" max="12" width="18" hidden="0" customWidth="1"/>
    <x:col min="13" max="13" width="30" hidden="0" customWidth="1"/>
    <x:col min="14" max="14" width="16" hidden="0" customWidth="1"/>
  </x:cols>
  <x:sheetData>
    <x:row r="1" ht="30" customHeight="1">
      <x:c r="A1" s="2" t="str">
        <x:v>Defect Log</x:v>
      </x:c>
    </x:row>
    <x:row r="2">
      <x:c r="A2" s="4" t="str">
        <x:v>Defects discovered during source/build/browser QA. User-visible issues are verified fixed; D007 is deferred as non-user-visible maintenance backlog.</x:v>
      </x:c>
    </x:row>
    <x:row r="4">
      <x:c r="A4" s="7" t="str">
        <x:v>Defect ID</x:v>
      </x:c>
      <x:c r="B4" s="21" t="str">
        <x:v>Feature ID(s)</x:v>
      </x:c>
      <x:c r="C4" s="21" t="str">
        <x:v>Severity</x:v>
      </x:c>
      <x:c r="D4" s="21" t="str">
        <x:v>Category</x:v>
      </x:c>
      <x:c r="E4" s="21" t="str">
        <x:v>Status</x:v>
      </x:c>
      <x:c r="F4" s="21" t="str">
        <x:v>Source</x:v>
      </x:c>
      <x:c r="G4" s="21" t="str">
        <x:v>Repro / Observation</x:v>
      </x:c>
      <x:c r="H4" s="21" t="str">
        <x:v>Expected</x:v>
      </x:c>
      <x:c r="I4" s="21" t="str">
        <x:v>Actual</x:v>
      </x:c>
      <x:c r="J4" s="21" t="str">
        <x:v>Evidence</x:v>
      </x:c>
      <x:c r="K4" s="21" t="str">
        <x:v>Fix Plan</x:v>
      </x:c>
      <x:c r="L4" s="21" t="str">
        <x:v>Fix Commit</x:v>
      </x:c>
      <x:c r="M4" s="21" t="str">
        <x:v>Retest Result</x:v>
      </x:c>
      <x:c r="N4" s="8" t="str">
        <x:v>Last Updated</x:v>
      </x:c>
    </x:row>
    <x:row r="5">
      <x:c r="A5" s="15" t="str">
        <x:v>D001</x:v>
      </x:c>
      <x:c r="B5" s="25" t="str">
        <x:v>F032</x:v>
      </x:c>
      <x:c r="C5" s="25" t="str">
        <x:v>High</x:v>
      </x:c>
      <x:c r="D5" s="25" t="str">
        <x:v>UX / Functional</x:v>
      </x:c>
      <x:c r="E5" s="25" t="str">
        <x:v>Verified</x:v>
      </x:c>
      <x:c r="F5" s="25" t="str">
        <x:v>src/config.ts; src/components/base/NavBar.astro; src/components/widgets/SearchSwitch.astro</x:v>
      </x:c>
      <x:c r="G5" s="25" t="str">
        <x:v>UI config declares searchButton and SearchSwitch exists, but custom NavBar renders only Blog, Projects, and ThemeSwitch.</x:v>
      </x:c>
      <x:c r="H5" s="25" t="str">
        <x:v>Search should be reachable from navigation if enabled, or config should explicitly disable it.</x:v>
      </x:c>
      <x:c r="I5" s="25" t="str">
        <x:v>No visible search entry point is expected in current rendered navigation.</x:v>
      </x:c>
      <x:c r="J5" s="25" t="str">
        <x:v>Production preview search opened from nav; Pagefind query "server" returned 1 article result; mobile search panel fit 351/390 with backdrop.</x:v>
      </x:c>
      <x:c r="K5" s="25" t="str">
        <x:v>Wire SearchSwitch into NavBar or disable/remove search config intentionally.</x:v>
      </x:c>
      <x:c r="L5" s="25" t="str">
        <x:v>0623cc8</x:v>
      </x:c>
      <x:c r="M5" s="25" t="str">
        <x:v>Passed — search is visible and functional on desktop/mobile.</x:v>
      </x:c>
      <x:c r="N5" s="31" t="str">
        <x:v>2026-06-29</x:v>
      </x:c>
    </x:row>
    <x:row r="6">
      <x:c r="A6" s="17" t="str">
        <x:v>D002</x:v>
      </x:c>
      <x:c r="B6" s="26" t="str">
        <x:v>F027; F028</x:v>
      </x:c>
      <x:c r="C6" s="26" t="str">
        <x:v>Medium</x:v>
      </x:c>
      <x:c r="D6" s="26" t="str">
        <x:v>Data / Build</x:v>
      </x:c>
      <x:c r="E6" s="26" t="str">
        <x:v>Verified</x:v>
      </x:c>
      <x:c r="F6" s="26" t="str">
        <x:v>src/content/config.ts; production build output</x:v>
      </x:c>
      <x:c r="G6" s="26" t="str">
        <x:v>Build logs GitHub releases error and PR warning when GITHUB_TOKEN is missing; generated releases/prs collections are empty.</x:v>
      </x:c>
      <x:c r="H6" s="26" t="str">
        <x:v>Public GitHub activity pages should show data, a helpful empty state, or be hidden if not configured.</x:v>
      </x:c>
      <x:c r="I6" s="26" t="str">
        <x:v>/releases/ and /prs/ are routable but likely render empty activity lists with only footer content.</x:v>
      </x:c>
      <x:c r="J6" s="26" t="str">
        <x:v>pnpm check/build no longer emit GitHub token loader warnings/errors; /releases/ and /prs/ show GITHUB_TOKEN fallback copy without AstroEco text.</x:v>
      </x:c>
      <x:c r="K6" s="26" t="str">
        <x:v>Add resilient empty state and/or make token requirement explicit; consider hiding demo routes from nav/sitemap.</x:v>
      </x:c>
      <x:c r="L6" s="26" t="str">
        <x:v>4efbc6a</x:v>
      </x:c>
      <x:c r="M6" s="26" t="str">
        <x:v>Passed — optional no-token state is explicit and build-clean.</x:v>
      </x:c>
      <x:c r="N6" s="32" t="str">
        <x:v>2026-06-29</x:v>
      </x:c>
    </x:row>
    <x:row r="7">
      <x:c r="A7" s="17" t="str">
        <x:v>D003</x:v>
      </x:c>
      <x:c r="B7" s="26" t="str">
        <x:v>F030</x:v>
      </x:c>
      <x:c r="C7" s="26" t="str">
        <x:v>Low</x:v>
      </x:c>
      <x:c r="D7" s="26" t="str">
        <x:v>Content / Branding</x:v>
      </x:c>
      <x:c r="E7" s="26" t="str">
        <x:v>Verified</x:v>
      </x:c>
      <x:c r="F7" s="26" t="str">
        <x:v>src/pages/manifest.webmanifest.js</x:v>
      </x:c>
      <x:c r="G7" s="26" t="str">
        <x:v>Manifest still says Astro AntfuStyle Theme / AntfuStyle with upstream theme description.</x:v>
      </x:c>
      <x:c r="H7" s="26" t="str">
        <x:v>Manifest should match TK homepage identity and current site description.</x:v>
      </x:c>
      <x:c r="I7" s="26" t="str">
        <x:v>Installed app/search previews would show upstream theme branding.</x:v>
      </x:c>
      <x:c r="J7" s="26" t="str">
        <x:v>/manifest.webmanifest returns TK's Homepage / TK Home / current SITE description / #0a0a0a.</x:v>
      </x:c>
      <x:c r="K7" s="26" t="str">
        <x:v>Update manifest name, short_name, description, and colors to match SITE config.</x:v>
      </x:c>
      <x:c r="L7" s="26" t="str">
        <x:v>f1aacee</x:v>
      </x:c>
      <x:c r="M7" s="26" t="str">
        <x:v>Passed — manifest identity matches site identity.</x:v>
      </x:c>
      <x:c r="N7" s="32" t="str">
        <x:v>2026-06-29</x:v>
      </x:c>
    </x:row>
    <x:row r="8">
      <x:c r="A8" s="17" t="str">
        <x:v>D004</x:v>
      </x:c>
      <x:c r="B8" s="26" t="str">
        <x:v>F004</x:v>
      </x:c>
      <x:c r="C8" s="26" t="str">
        <x:v>Medium</x:v>
      </x:c>
      <x:c r="D8" s="26" t="str">
        <x:v>UX / Navigation</x:v>
      </x:c>
      <x:c r="E8" s="26" t="str">
        <x:v>Verified</x:v>
      </x:c>
      <x:c r="F8" s="26" t="str">
        <x:v>src/config.ts; src/components/base/NavBar.astro; src/pages/index.mdx</x:v>
      </x:c>
      <x:c r="G8" s="26" t="str">
        <x:v>Config lists Blog, Projects, Music, Changelog; homepage comments out Blog/Projects links; NavBar only exposes Blog/Projects on internal pages.</x:v>
      </x:c>
      <x:c r="H8" s="26" t="str">
        <x:v>Public visitors should be able to discover writing/work/music from a consistent minimal navigation path.</x:v>
      </x:c>
      <x:c r="I8" s="26" t="str">
        <x:v>Music and Changelog are not reachable from the visible nav; homepage has no visible internal content navigation.</x:v>
      </x:c>
      <x:c r="J8" s="26" t="str">
        <x:v>Home nav exposes BLOG/PROJECTS/MUSIC/SEARCH; internal nav exposes BLOG/PROJECTS/MUSIC/CHANGELOG/SEARCH.</x:v>
      </x:c>
      <x:c r="K8" s="26" t="str">
        <x:v>Adjust NavBar/homepage navigation to expose the intended core sections while preserving the homepage visual style.</x:v>
      </x:c>
      <x:c r="L8" s="26" t="str">
        <x:v>0623cc8</x:v>
      </x:c>
      <x:c r="M8" s="26" t="str">
        <x:v>Passed — core sections are discoverable while homepage style is preserved.</x:v>
      </x:c>
      <x:c r="N8" s="32" t="str">
        <x:v>2026-06-29</x:v>
      </x:c>
    </x:row>
    <x:row r="9">
      <x:c r="A9" s="17" t="str">
        <x:v>D005</x:v>
      </x:c>
      <x:c r="B9" s="26" t="str">
        <x:v>F020</x:v>
      </x:c>
      <x:c r="C9" s="26" t="str">
        <x:v>Medium</x:v>
      </x:c>
      <x:c r="D9" s="26" t="str">
        <x:v>Accessibility</x:v>
      </x:c>
      <x:c r="E9" s="26" t="str">
        <x:v>Verified</x:v>
      </x:c>
      <x:c r="F9" s="26" t="str">
        <x:v>src/components/music/AlbumList.jsx</x:v>
      </x:c>
      <x:c r="G9" s="26" t="str">
        <x:v>Album rows are clickable divs with no keyboard focus, role, or key handling.</x:v>
      </x:c>
      <x:c r="H9" s="26" t="str">
        <x:v>Album selection should be operable by keyboard and discoverable by assistive tech.</x:v>
      </x:c>
      <x:c r="I9" s="26" t="str">
        <x:v>Mouse users can select albums; keyboard users likely cannot.</x:v>
      </x:c>
      <x:c r="J9" s="26" t="str">
        <x:v>Album rows render as buttons with aria-pressed; Enter selected Eclipse and updated detail state.</x:v>
      </x:c>
      <x:c r="K9" s="26" t="str">
        <x:v>Render album entries as buttons or add equivalent keyboard/ARIA semantics.</x:v>
      </x:c>
      <x:c r="L9" s="26" t="str">
        <x:v>9293d22</x:v>
      </x:c>
      <x:c r="M9" s="26" t="str">
        <x:v>Passed — album selection is keyboard-operable.</x:v>
      </x:c>
      <x:c r="N9" s="32" t="str">
        <x:v>2026-06-29</x:v>
      </x:c>
    </x:row>
    <x:row r="10">
      <x:c r="A10" s="17" t="str">
        <x:v>D006</x:v>
      </x:c>
      <x:c r="B10" s="26" t="str">
        <x:v>F033</x:v>
      </x:c>
      <x:c r="C10" s="26" t="str">
        <x:v>Medium</x:v>
      </x:c>
      <x:c r="D10" s="26" t="str">
        <x:v>Functional / Configuration</x:v>
      </x:c>
      <x:c r="E10" s="26" t="str">
        <x:v>Verified</x:v>
      </x:c>
      <x:c r="F10" s="26" t="str">
        <x:v>src/config.ts; src/components/widgets/ShareLink.astro; src/layouts/BaseLayout.astro</x:v>
      </x:c>
      <x:c r="G10" s="26" t="str">
        <x:v>Share feature is enabled in config and ShareLink exists, but no current page passes content into the BaseLayout share slot.</x:v>
      </x:c>
      <x:c r="H10" s="26" t="str">
        <x:v>If share is enabled, articles should render share links; otherwise config should be off to avoid false capability.</x:v>
      </x:c>
      <x:c r="I10" s="26" t="str">
        <x:v>Share UI appears unreachable from current article route.</x:v>
      </x:c>
      <x:c r="J10" s="26" t="str">
        <x:v>Article route renders Twitter share link to twitter.com/intent/tweet with canonical article URL.</x:v>
      </x:c>
      <x:c r="K10" s="26" t="str">
        <x:v>Wire ShareLink into article pages when frontmatter.share is true, or disable share config.</x:v>
      </x:c>
      <x:c r="L10" s="26" t="str">
        <x:v>af7553f</x:v>
      </x:c>
      <x:c r="M10" s="26" t="str">
        <x:v>Passed — enabled share feature is reachable on article pages.</x:v>
      </x:c>
      <x:c r="N10" s="32" t="str">
        <x:v>2026-06-29</x:v>
      </x:c>
    </x:row>
    <x:row r="11">
      <x:c r="A11" s="17" t="str">
        <x:v>D007</x:v>
      </x:c>
      <x:c r="B11" s="26" t="str">
        <x:v>F039</x:v>
      </x:c>
      <x:c r="C11" s="26" t="str">
        <x:v>Low</x:v>
      </x:c>
      <x:c r="D11" s="26" t="str">
        <x:v>Maintainability / UX</x:v>
      </x:c>
      <x:c r="E11" s="26" t="str">
        <x:v>Deferred</x:v>
      </x:c>
      <x:c r="F11" s="26" t="str">
        <x:v>src/components/widgets/NavSwitch.astro; RssLink.astro; LogoButton.astro; src/components/base/NavItem.astro</x:v>
      </x:c>
      <x:c r="G11" s="26" t="str">
        <x:v>Several upstream navigation widgets remain present but are no longer used by the custom NavBar.</x:v>
      </x:c>
      <x:c r="H11" s="26" t="str">
        <x:v>Reusable widgets should either be intentionally wired, documented as legacy, or removed to reduce confusion.</x:v>
      </x:c>
      <x:c r="I11" s="26" t="str">
        <x:v>Config and implementation can drift, making future UX changes error-prone.</x:v>
      </x:c>
      <x:c r="J11" s="26" t="str">
        <x:v>Post-fix public nav/search/theme behavior is verified; unused upstream widgets do not affect current visitors.</x:v>
      </x:c>
      <x:c r="K11" s="26" t="str">
        <x:v>Decide whether to restore config-driven NavBar or remove unused upstream widgets.</x:v>
      </x:c>
      <x:c r="L11" s="26" t="str"/>
      <x:c r="M11" s="26" t="str">
        <x:v>Deferred — maintenance cleanup only, not a user-visible UX/logistical blocker.</x:v>
      </x:c>
      <x:c r="N11" s="32" t="str">
        <x:v>2026-06-29</x:v>
      </x:c>
    </x:row>
    <x:row r="12">
      <x:c r="A12" s="17" t="str">
        <x:v>D008</x:v>
      </x:c>
      <x:c r="B12" s="26" t="str">
        <x:v>F012</x:v>
      </x:c>
      <x:c r="C12" s="26" t="str">
        <x:v>High</x:v>
      </x:c>
      <x:c r="D12" s="26" t="str">
        <x:v>UX / Layout</x:v>
      </x:c>
      <x:c r="E12" s="26" t="str">
        <x:v>Verified</x:v>
      </x:c>
      <x:c r="F12" s="26" t="str">
        <x:v>src/pages/index.mdx</x:v>
      </x:c>
      <x:c r="G12" s="26" t="str">
        <x:v>Homepage used React-style className attributes in Astro markup, so layout classes were not applied reliably.</x:v>
      </x:c>
      <x:c r="H12" s="26" t="str">
        <x:v>Homepage should render the intended three-column editorial grid on desktop and one-column stack on mobile.</x:v>
      </x:c>
      <x:c r="I12" s="26" t="str">
        <x:v>Desktop homepage layout could collapse/lose intended styling.</x:v>
      </x:c>
      <x:c r="J12" s="26" t="str">
        <x:v>Browser regression: 1280px grid columns 384px / 384px / 384px; mobile 390px no overflow.</x:v>
      </x:c>
      <x:c r="K12" s="26" t="str">
        <x:v>Replace className with class in Astro page markup.</x:v>
      </x:c>
      <x:c r="L12" s="26" t="str">
        <x:v>8e2c78a</x:v>
      </x:c>
      <x:c r="M12" s="26" t="str">
        <x:v>Passed — homepage layout restored and responsive.</x:v>
      </x:c>
      <x:c r="N12" s="32" t="str">
        <x:v>2026-06-29</x:v>
      </x:c>
    </x:row>
    <x:row r="13">
      <x:c r="A13" s="17" t="str">
        <x:v>D009</x:v>
      </x:c>
      <x:c r="B13" s="26" t="str">
        <x:v>F027; F028; F040</x:v>
      </x:c>
      <x:c r="C13" s="26" t="str">
        <x:v>Medium</x:v>
      </x:c>
      <x:c r="D13" s="26" t="str">
        <x:v>Content / Link Integrity</x:v>
      </x:c>
      <x:c r="E13" s="26" t="str">
        <x:v>Verified</x:v>
      </x:c>
      <x:c r="F13" s="26" t="str">
        <x:v>src/components/views/GithubView.astro; src/pages/releases.mdx; src/pages/prs.mdx</x:v>
      </x:c>
      <x:c r="G13" s="26" t="str">
        <x:v>GitHub activity pages retained upstream/template copy and linked to a missing local configuration article.</x:v>
      </x:c>
      <x:c r="H13" s="26" t="str">
        <x:v>Optional GitHub pages should use neutral TK-site copy and only link to valid resources.</x:v>
      </x:c>
      <x:c r="I13" s="26" t="str">
        <x:v>Visitors could see stale AstroEco wording or hit a broken /blog/customizing-github-activity-pages/ URL.</x:v>
      </x:c>
      <x:c r="J13" s="26" t="str">
        <x:v>Static crawl: 14 HTML files / 302 refs / 0 broken; releases/prs contain no AstroEco text.</x:v>
      </x:c>
      <x:c r="K13" s="26" t="str">
        <x:v>Replace stale local link with astro-loaders docs and update page titles/descriptions.</x:v>
      </x:c>
      <x:c r="L13" s="26" t="str">
        <x:v>ed43d6e</x:v>
      </x:c>
      <x:c r="M13" s="26" t="str">
        <x:v>Passed — no broken local refs and no AstroEco copy.</x:v>
      </x:c>
      <x:c r="N13" s="32" t="str">
        <x:v>2026-06-29</x:v>
      </x:c>
    </x:row>
    <x:row r="14">
      <x:c r="A14" s="19" t="str">
        <x:v>D010</x:v>
      </x:c>
      <x:c r="B14" s="27" t="str">
        <x:v>F014</x:v>
      </x:c>
      <x:c r="C14" s="27" t="str">
        <x:v>Low</x:v>
      </x:c>
      <x:c r="D14" s="27" t="str">
        <x:v>Content / Copy</x:v>
      </x:c>
      <x:c r="E14" s="27" t="str">
        <x:v>Verified</x:v>
      </x:c>
      <x:c r="F14" s="27" t="str">
        <x:v>src/content/blog/about-open-graph-images.md</x:v>
      </x:c>
      <x:c r="G14" s="27" t="str">
        <x:v>Public article contained awkward/incorrect wording such as "enviroment" and "via appimage".</x:v>
      </x:c>
      <x:c r="H14" s="27" t="str">
        <x:v>Public writing should be clean enough for collaborators and general visitors.</x:v>
      </x:c>
      <x:c r="I14" s="27" t="str">
        <x:v>Article copy had visible typos and rough phrasing.</x:v>
      </x:c>
      <x:c r="J14" s="27" t="str">
        <x:v>Article route rendered cleaned copy in production preview with no console issues.</x:v>
      </x:c>
      <x:c r="K14" s="27" t="str">
        <x:v>Edit article copy while preserving technical meaning.</x:v>
      </x:c>
      <x:c r="L14" s="27" t="str">
        <x:v>30d3343</x:v>
      </x:c>
      <x:c r="M14" s="27" t="str">
        <x:v>Passed — public copy cleaned.</x:v>
      </x:c>
      <x:c r="N14" s="33" t="str">
        <x:v>2026-06-29</x:v>
      </x:c>
    </x:row>
  </x:sheetData>
  <x:mergeCells>
    <x:mergeCell ref="A1:N1"/>
    <x:mergeCell ref="A2:N2"/>
  </x:mergeCells>
  <x:dataValidations count="2">
    <x:dataValidation type="list" sqref="C5:C14">
      <x:formula1>"Critical,High,Medium,Low,Cosmetic"</x:formula1>
    </x:dataValidation>
    <x:dataValidation type="list" sqref="E5:E14">
      <x:formula1>"Open,Fixed,Retest Pending,Verified,Deferred"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37563308244f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42" hidden="0" customWidth="1"/>
    <x:col min="5" max="5" width="48" hidden="0" customWidth="1"/>
    <x:col min="6" max="6" width="22" hidden="0" customWidth="1"/>
    <x:col min="7" max="7" width="66" hidden="0" customWidth="1"/>
  </x:cols>
  <x:sheetData>
    <x:row r="1" ht="30" customHeight="1">
      <x:c r="A1" s="2" t="str">
        <x:v>Test Runs</x:v>
      </x:c>
    </x:row>
    <x:row r="2">
      <x:c r="A2" s="4" t="str">
        <x:v>Chronological evidence log for inventory, baseline, fix loop, and final production-preview regression.</x:v>
      </x:c>
    </x:row>
    <x:row r="4">
      <x:c r="A4" s="7" t="str">
        <x:v>Run ID</x:v>
      </x:c>
      <x:c r="B4" s="21" t="str">
        <x:v>Date</x:v>
      </x:c>
      <x:c r="C4" s="21" t="str">
        <x:v>Type</x:v>
      </x:c>
      <x:c r="D4" s="21" t="str">
        <x:v>Scope</x:v>
      </x:c>
      <x:c r="E4" s="21" t="str">
        <x:v>Command / URL</x:v>
      </x:c>
      <x:c r="F4" s="21" t="str">
        <x:v>Result</x:v>
      </x:c>
      <x:c r="G4" s="8" t="str">
        <x:v>Notes</x:v>
      </x:c>
    </x:row>
    <x:row r="5">
      <x:c r="A5" s="15" t="str">
        <x:v>TR001</x:v>
      </x:c>
      <x:c r="B5" s="28" t="n">
        <x:v>46202</x:v>
      </x:c>
      <x:c r="C5" s="25" t="str">
        <x:v>Code inventory</x:v>
      </x:c>
      <x:c r="D5" s="25" t="str">
        <x:v>Routes, components, content collections, config, build scripts</x:v>
      </x:c>
      <x:c r="E5" s="25" t="str">
        <x:v>Manual source inspection via route/component inventory</x:v>
      </x:c>
      <x:c r="F5" s="25" t="str">
        <x:v>Complete</x:v>
      </x:c>
      <x:c r="G5" s="16" t="str">
        <x:v>Generated initial user stories from source code before browser QA.</x:v>
      </x:c>
    </x:row>
    <x:row r="6">
      <x:c r="A6" s="17" t="str">
        <x:v>TR002</x:v>
      </x:c>
      <x:c r="B6" s="29" t="n">
        <x:v>46202</x:v>
      </x:c>
      <x:c r="C6" s="26" t="str">
        <x:v>Baseline checks</x:v>
      </x:c>
      <x:c r="D6" s="26" t="str">
        <x:v>Whole site</x:v>
      </x:c>
      <x:c r="E6" s="26" t="str">
        <x:v>pnpm check; pnpm lint; pnpm format; pnpm build</x:v>
      </x:c>
      <x:c r="F6" s="26" t="str">
        <x:v>Passed with concerns</x:v>
      </x:c>
      <x:c r="G6" s="18" t="str">
        <x:v>0 Astro diagnostics; lint/format passed; build passed. GitHub loader token warnings/errors recorded as D002.</x:v>
      </x:c>
    </x:row>
    <x:row r="7">
      <x:c r="A7" s="17" t="str">
        <x:v>TR003</x:v>
      </x:c>
      <x:c r="B7" s="29" t="n">
        <x:v>46202</x:v>
      </x:c>
      <x:c r="C7" s="26" t="str">
        <x:v>Baseline commit</x:v>
      </x:c>
      <x:c r="D7" s="26" t="str">
        <x:v>Previous style/config migration</x:v>
      </x:c>
      <x:c r="E7" s="26" t="str">
        <x:v>git commit 05cdd87</x:v>
      </x:c>
      <x:c r="F7" s="26" t="str">
        <x:v>Complete</x:v>
      </x:c>
      <x:c r="G7" s="18" t="str">
        <x:v>Clean QA baseline before formal browser test/fix loop.</x:v>
      </x:c>
    </x:row>
    <x:row r="8">
      <x:c r="A8" s="17" t="str">
        <x:v>TR004</x:v>
      </x:c>
      <x:c r="B8" s="29" t="n">
        <x:v>46202</x:v>
      </x:c>
      <x:c r="C8" s="26" t="str">
        <x:v>Browser baseline</x:v>
      </x:c>
      <x:c r="D8" s="26" t="str">
        <x:v>Core public routes and interactions</x:v>
      </x:c>
      <x:c r="E8" s="26" t="str">
        <x:v>In-app browser on local dev/preview; screenshots in .gstack/qa-reports/screenshots</x:v>
      </x:c>
      <x:c r="F8" s="26" t="str">
        <x:v>Failed with defects</x:v>
      </x:c>
      <x:c r="G8" s="18" t="str">
        <x:v>Found homepage layout issue, hidden/unwired search/nav, manifest branding, music keyboard accessibility, GitHub optional-state issues, missing article share links, stale GitHub copy/link, and article copy issues.</x:v>
      </x:c>
    </x:row>
    <x:row r="9">
      <x:c r="A9" s="17" t="str">
        <x:v>TR005</x:v>
      </x:c>
      <x:c r="B9" s="29" t="n">
        <x:v>46202</x:v>
      </x:c>
      <x:c r="C9" s="26" t="str">
        <x:v>Fix loop</x:v>
      </x:c>
      <x:c r="D9" s="26" t="str">
        <x:v>D001-D006, D008-D010</x:v>
      </x:c>
      <x:c r="E9" s="26" t="str">
        <x:v>Commits 8e2c78a, 0623cc8, f1aacee, 9293d22, 4efbc6a, af7553f, ed43d6e, 30d3343</x:v>
      </x:c>
      <x:c r="F9" s="26" t="str">
        <x:v>Complete</x:v>
      </x:c>
      <x:c r="G9" s="18" t="str">
        <x:v>One focused fix per issue class; .gstack QA evidence kept local and ignored.</x:v>
      </x:c>
    </x:row>
    <x:row r="10">
      <x:c r="A10" s="19" t="str">
        <x:v>TR006</x:v>
      </x:c>
      <x:c r="B10" s="30" t="n">
        <x:v>46202</x:v>
      </x:c>
      <x:c r="C10" s="27" t="str">
        <x:v>Final regression</x:v>
      </x:c>
      <x:c r="D10" s="27" t="str">
        <x:v>All 43 user stories, 15 route states, desktop/mobile overlays, production search, manifest, RSS, links, build checks</x:v>
      </x:c>
      <x:c r="E10" s="27" t="str">
        <x:v>pnpm check; pnpm lint; pnpm format; pnpm build; production preview http://127.0.0.1:4322; internal link crawl</x:v>
      </x:c>
      <x:c r="F10" s="27" t="str">
        <x:v>Passed</x:v>
      </x:c>
      <x:c r="G10" s="20" t="str">
        <x:v>0 Astro diagnostics, 0 lint/format failures, build passed, 0 broken local refs, 0 console warning/error route regressions, all user-visible defects retested fixed.</x:v>
      </x:c>
    </x:row>
  </x:sheetData>
  <x:mergeCells>
    <x:mergeCell ref="A1:G1"/>
    <x:mergeCell ref="A2:N2"/>
  </x:mergeCells>
  <x:pageMargins left="0.7" right="0.7" top="0.75" bottom="0.75" header="0.3" footer="0.3"/>
  <x:tableParts count="1">
    <x:tablePart xmlns:r="http://schemas.openxmlformats.org/officeDocument/2006/relationships" r:id="R79497c91331149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60" hidden="0" customWidth="1"/>
    <x:col min="4" max="4" width="18" hidden="0" customWidth="1"/>
  </x:cols>
  <x:sheetData>
    <x:row r="1" ht="30" customHeight="1">
      <x:c r="A1" s="2" t="str">
        <x:v>Legend</x:v>
      </x:c>
    </x:row>
    <x:row r="2">
      <x:c r="A2" s="4" t="str">
        <x:v>How to read and maintain the canonical QA workbook.</x:v>
      </x:c>
    </x:row>
    <x:row r="4">
      <x:c r="A4" s="7" t="str">
        <x:v>Field</x:v>
      </x:c>
      <x:c r="B4" s="21" t="str">
        <x:v>Allowed Values / Meaning</x:v>
      </x:c>
      <x:c r="C4" s="21" t="str">
        <x:v>When to use</x:v>
      </x:c>
      <x:c r="D4" s="8" t="str">
        <x:v>Owner</x:v>
      </x:c>
    </x:row>
    <x:row r="5">
      <x:c r="A5" s="15" t="str">
        <x:v>Test Status</x:v>
      </x:c>
      <x:c r="B5" s="25" t="str">
        <x:v>Not Tested; Build Verified; Needs Browser Verification; Defect Open; Fixed - Retest Pending; Verified; Deferred</x:v>
      </x:c>
      <x:c r="C5" s="25" t="str">
        <x:v>Track where each user story is in the QA loop.</x:v>
      </x:c>
      <x:c r="D5" s="16" t="str">
        <x:v>Codex</x:v>
      </x:c>
    </x:row>
    <x:row r="6">
      <x:c r="A6" s="17" t="str">
        <x:v>Fix Status</x:v>
      </x:c>
      <x:c r="B6" s="26" t="str">
        <x:v>No Fix Needed; Open; Pending Fix; Fixed; Retest Pending; Deferred</x:v>
      </x:c>
      <x:c r="C6" s="26" t="str">
        <x:v>Track whether source changes are needed or done.</x:v>
      </x:c>
      <x:c r="D6" s="18" t="str">
        <x:v>Codex</x:v>
      </x:c>
    </x:row>
    <x:row r="7">
      <x:c r="A7" s="17" t="str">
        <x:v>Severity</x:v>
      </x:c>
      <x:c r="B7" s="26" t="str">
        <x:v>Critical; High; Medium; Low; Cosmetic; N/A</x:v>
      </x:c>
      <x:c r="C7" s="26" t="str">
        <x:v>Risk/impact if behavior is wrong.</x:v>
      </x:c>
      <x:c r="D7" s="18" t="str">
        <x:v>Codex</x:v>
      </x:c>
    </x:row>
    <x:row r="8">
      <x:c r="A8" s="17" t="str">
        <x:v>Defect Status</x:v>
      </x:c>
      <x:c r="B8" s="26" t="str">
        <x:v>Open; Fixed; Retest Pending; Verified; Deferred</x:v>
      </x:c>
      <x:c r="C8" s="26" t="str">
        <x:v>Lifecycle for rows in Defect Log.</x:v>
      </x:c>
      <x:c r="D8" s="18" t="str">
        <x:v>Codex</x:v>
      </x:c>
    </x:row>
    <x:row r="9">
      <x:c r="A9" s="17" t="str">
        <x:v>Evidence / URL</x:v>
      </x:c>
      <x:c r="B9" s="26" t="str">
        <x:v>Browser URL, screenshot path, command, or note</x:v>
      </x:c>
      <x:c r="C9" s="26" t="str">
        <x:v>Add immediately when testing or fixing.</x:v>
      </x:c>
      <x:c r="D9" s="18" t="str">
        <x:v>Codex</x:v>
      </x:c>
    </x:row>
    <x:row r="10">
      <x:c r="A10" s="17" t="str">
        <x:v>Canonical rule</x:v>
      </x:c>
      <x:c r="B10" s="26" t="str">
        <x:v>Only FEATURE_STATUS.xlsx is the source of truth</x:v>
      </x:c>
      <x:c r="C10" s="26" t="str">
        <x:v>Do not fork parallel trackers.</x:v>
      </x:c>
      <x:c r="D10" s="18" t="str">
        <x:v>All</x:v>
      </x:c>
    </x:row>
    <x:row r="11">
      <x:c r="A11" s="17" t="str">
        <x:v>QA rule</x:v>
      </x:c>
      <x:c r="B11" s="26" t="str">
        <x:v>Test every listed user story before final sign-off</x:v>
      </x:c>
      <x:c r="C11" s="26" t="str">
        <x:v>Desktop + mobile + light/dark where relevant.</x:v>
      </x:c>
      <x:c r="D11" s="18" t="str">
        <x:v>Codex</x:v>
      </x:c>
    </x:row>
    <x:row r="12">
      <x:c r="A12" s="17" t="str">
        <x:v>Fix rule</x:v>
      </x:c>
      <x:c r="B12" s="26" t="str">
        <x:v>One source-code fix per commit</x:v>
      </x:c>
      <x:c r="C12" s="26" t="str">
        <x:v>Keep defects traceable.</x:v>
      </x:c>
      <x:c r="D12" s="18" t="str">
        <x:v>Codex</x:v>
      </x:c>
    </x:row>
    <x:row r="13">
      <x:c r="A13" s="17" t="str">
        <x:v>Regression rule</x:v>
      </x:c>
      <x:c r="B13" s="26" t="str">
        <x:v>Retest every user story post-fix</x:v>
      </x:c>
      <x:c r="C13" s="26" t="str">
        <x:v>Final status cannot be complete before retest.</x:v>
      </x:c>
      <x:c r="D13" s="18" t="str">
        <x:v>Codex</x:v>
      </x:c>
    </x:row>
    <x:row r="14">
      <x:c r="A14" s="17" t="str">
        <x:v>Design rule</x:v>
      </x:c>
      <x:c r="B14" s="26" t="str">
        <x:v>Black/white editorial, experimental art, low clutter</x:v>
      </x:c>
      <x:c r="C14" s="26" t="str">
        <x:v>Preserve homepage visual direction.</x:v>
      </x:c>
      <x:c r="D14" s="18" t="str">
        <x:v>Codex</x:v>
      </x:c>
    </x:row>
    <x:row r="15">
      <x:c r="A15" s="17" t="str">
        <x:v>Audience</x:v>
      </x:c>
      <x:c r="B15" s="26" t="str">
        <x:v>Collaborators and public visitors</x:v>
      </x:c>
      <x:c r="C15" s="26" t="str">
        <x:v>Prioritize discoverability of work and reading.</x:v>
      </x:c>
      <x:c r="D15" s="18" t="str">
        <x:v>Codex</x:v>
      </x:c>
    </x:row>
    <x:row r="16">
      <x:c r="A16" s="17" t="str">
        <x:v>Known build concern</x:v>
      </x:c>
      <x:c r="B16" s="26" t="str">
        <x:v>GitHub token optional for releases/prs loaders</x:v>
      </x:c>
      <x:c r="C16" s="26" t="str">
        <x:v>No-token builds show fallback copy.</x:v>
      </x:c>
      <x:c r="D16" s="18" t="str">
        <x:v>Codex</x:v>
      </x:c>
    </x:row>
    <x:row r="17">
      <x:c r="A17" s="19" t="str">
        <x:v>Next update</x:v>
      </x:c>
      <x:c r="B17" s="27" t="str">
        <x:v>Append deployment evidence if shipped</x:v>
      </x:c>
      <x:c r="C17" s="27" t="str">
        <x:v>After production deploy/canary.</x:v>
      </x:c>
      <x:c r="D17" s="20" t="str">
        <x:v>Codex</x:v>
      </x:c>
    </x:row>
  </x:sheetData>
  <x:mergeCells>
    <x:mergeCell ref="A1:D1"/>
    <x:mergeCell ref="A2:N2"/>
  </x:mergeCells>
  <x:pageMargins left="0.7" right="0.7" top="0.75" bottom="0.75" header="0.3" footer="0.3"/>
</x:worksheet>
</file>